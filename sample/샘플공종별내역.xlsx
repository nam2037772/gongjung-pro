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바이브코딩\공정표프로\"/>
    </mc:Choice>
  </mc:AlternateContent>
  <xr:revisionPtr revIDLastSave="0" documentId="8_{DD1430AC-B9FF-4E33-AE71-82DD12EB32B9}" xr6:coauthVersionLast="36" xr6:coauthVersionMax="36" xr10:uidLastSave="{00000000-0000-0000-0000-000000000000}"/>
  <bookViews>
    <workbookView xWindow="0" yWindow="0" windowWidth="17340" windowHeight="16980" xr2:uid="{8E829588-2860-4EBC-A54E-BB66CB13CE4D}"/>
  </bookViews>
  <sheets>
    <sheet name="공종별집계표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Fill" hidden="1">#REF!</definedName>
    <definedName name="_Key1" hidden="1">#REF!</definedName>
    <definedName name="_Key2" hidden="1">#REF!</definedName>
    <definedName name="_Sort" hidden="1">#REF!</definedName>
    <definedName name="\a">#N/A</definedName>
    <definedName name="\c">#N/A</definedName>
    <definedName name="\d">#REF!</definedName>
    <definedName name="\f">#REF!</definedName>
    <definedName name="\q">#N/A</definedName>
    <definedName name="\r">#N/A</definedName>
    <definedName name="\s">#N/A</definedName>
    <definedName name="A">#REF!</definedName>
    <definedName name="b">#REF!</definedName>
    <definedName name="code1">#REF!</definedName>
    <definedName name="code2">#REF!</definedName>
    <definedName name="d">#REF!</definedName>
    <definedName name="_xlnm.Database">#REF!</definedName>
    <definedName name="ddd">#REF!</definedName>
    <definedName name="df">#REF!</definedName>
    <definedName name="ee">[2]일위대가!#REF!</definedName>
    <definedName name="k">#N/A</definedName>
    <definedName name="_xlnm.Print_Area" localSheetId="0">공종별집계표!$A$1:$M$96</definedName>
    <definedName name="_xlnm.Print_Area">#N/A</definedName>
    <definedName name="PRINT_AREA_MI">#N/A</definedName>
    <definedName name="_xlnm.Print_Titles" localSheetId="0">공종별집계표!$1:$4</definedName>
    <definedName name="_xlnm.Print_Titles">#REF!</definedName>
    <definedName name="PRINT_TITLES_MI">#REF!</definedName>
    <definedName name="q">#REF!</definedName>
    <definedName name="rlr">#REF!</definedName>
    <definedName name="s">#N/A</definedName>
    <definedName name="TT" hidden="1">#REF!</definedName>
    <definedName name="w">#REF!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경비인쇄." hidden="1">{#N/A,#N/A,FALSE,"경비"}</definedName>
    <definedName name="wrn.기타인쇄." hidden="1">{#N/A,#N/A,FALSE,"기타"}</definedName>
    <definedName name="wrn.노무비인쇄." hidden="1">{#N/A,#N/A,FALSE,"노무비"}</definedName>
    <definedName name="wrn.산출근거목록인쇄." hidden="1">{#N/A,#N/A,FALSE,"산출근거목록"}</definedName>
    <definedName name="wrn.산출근거인쇄." hidden="1">{#N/A,#N/A,FALSE,"산출근거"}</definedName>
    <definedName name="wrn.산출근거인쇄._.토개공변환." hidden="1">{#N/A,#N/A,FALSE,"산출근거변환"}</definedName>
    <definedName name="wrn.설계내역서인쇄." hidden="1">{#N/A,#N/A,FALSE,"설계내역서"}</definedName>
    <definedName name="wrn.원가계산서인쇄." hidden="1">{#N/A,#N/A,FALSE,"원가계산서"}</definedName>
    <definedName name="wrn.일위대가목록인쇄." hidden="1">{#N/A,#N/A,FALSE,"일위대가목록"}</definedName>
    <definedName name="wrn.일위대가인쇄." hidden="1">{#N/A,#N/A,FALSE,"일위대가"}</definedName>
    <definedName name="wrn.일위대가인쇄._.수자원변환." hidden="1">{#N/A,#N/A,FALSE,"일위대가변환"}</definedName>
    <definedName name="wrn.재료비인쇄." hidden="1">{#N/A,#N/A,FALSE,"재료비"}</definedName>
    <definedName name="wrn.중기목록인쇄." hidden="1">{#N/A,#N/A,FALSE,"중기목록"}</definedName>
    <definedName name="wrn.중기산출기초인쇄." hidden="1">{#N/A,#N/A,FALSE,"중기산출기초"}</definedName>
    <definedName name="wrn.중기인쇄." hidden="1">{#N/A,#N/A,FALSE,"중기"}</definedName>
    <definedName name="wrn.중기인쇄._.일반형변환." hidden="1">{#N/A,#N/A,FALSE,"중기변환"}</definedName>
    <definedName name="x">#REF!</definedName>
    <definedName name="XX">#REF!</definedName>
    <definedName name="공사명">'[3]내역서-토목'!#REF!</definedName>
    <definedName name="기">#N/A</definedName>
    <definedName name="내">#N/A</definedName>
    <definedName name="내선전공">#REF!</definedName>
    <definedName name="내역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내역1">#REF!</definedName>
    <definedName name="내역2">#REF!</definedName>
    <definedName name="낵역4">#REF!</definedName>
    <definedName name="노임">[4]노임단가!$B$1:$C$131</definedName>
    <definedName name="단가">#REF!</definedName>
    <definedName name="단가다">#REF!</definedName>
    <definedName name="단가비교표2">#REF!</definedName>
    <definedName name="단가임">#REF!</definedName>
    <definedName name="ㅁㅁㅁ">#REF!</definedName>
    <definedName name="모니터">#REF!</definedName>
    <definedName name="물량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밧데리">#REF!</definedName>
    <definedName name="보통인부">#REF!</definedName>
    <definedName name="소방일위대가">[5]노무비!$B$5</definedName>
    <definedName name="운반산출">#REF!</definedName>
    <definedName name="원가계산">#REF!</definedName>
    <definedName name="일위대가">[5]노무비!$B$2</definedName>
    <definedName name="정류기">#REF!</definedName>
    <definedName name="제경비율">#REF!</definedName>
    <definedName name="지주">#N/A</definedName>
    <definedName name="표지" hidden="1">#REF!</definedName>
    <definedName name="프랜트전공">#REF!</definedName>
    <definedName name="프린터">#REF!</definedName>
    <definedName name="ㅗ호">#N/A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8" i="1" l="1"/>
  <c r="K78" i="1"/>
  <c r="J78" i="1"/>
  <c r="I78" i="1"/>
  <c r="H78" i="1"/>
  <c r="G78" i="1"/>
  <c r="F78" i="1"/>
  <c r="E78" i="1"/>
  <c r="A78" i="1"/>
  <c r="L77" i="1"/>
  <c r="K77" i="1"/>
  <c r="J77" i="1"/>
  <c r="I77" i="1"/>
  <c r="H77" i="1"/>
  <c r="G77" i="1"/>
  <c r="F77" i="1"/>
  <c r="E77" i="1"/>
  <c r="A77" i="1"/>
  <c r="L76" i="1"/>
  <c r="K76" i="1"/>
  <c r="J76" i="1"/>
  <c r="I76" i="1"/>
  <c r="H76" i="1"/>
  <c r="G76" i="1"/>
  <c r="F76" i="1"/>
  <c r="E76" i="1"/>
  <c r="A76" i="1"/>
  <c r="J75" i="1"/>
  <c r="I75" i="1"/>
  <c r="H75" i="1"/>
  <c r="G75" i="1"/>
  <c r="K75" i="1" s="1"/>
  <c r="E75" i="1"/>
  <c r="F75" i="1" s="1"/>
  <c r="L75" i="1" s="1"/>
  <c r="K74" i="1"/>
  <c r="J74" i="1"/>
  <c r="I74" i="1"/>
  <c r="H74" i="1"/>
  <c r="G74" i="1"/>
  <c r="F74" i="1"/>
  <c r="L74" i="1" s="1"/>
  <c r="T74" i="1" s="1"/>
  <c r="E74" i="1"/>
  <c r="K73" i="1"/>
  <c r="J73" i="1"/>
  <c r="I73" i="1"/>
  <c r="G73" i="1"/>
  <c r="H73" i="1" s="1"/>
  <c r="L73" i="1" s="1"/>
  <c r="F73" i="1"/>
  <c r="E73" i="1"/>
  <c r="I72" i="1"/>
  <c r="J72" i="1" s="1"/>
  <c r="I71" i="1" s="1"/>
  <c r="J71" i="1" s="1"/>
  <c r="G72" i="1"/>
  <c r="H72" i="1" s="1"/>
  <c r="G71" i="1" s="1"/>
  <c r="H71" i="1" s="1"/>
  <c r="F72" i="1"/>
  <c r="E71" i="1" s="1"/>
  <c r="E72" i="1"/>
  <c r="K72" i="1" s="1"/>
  <c r="J70" i="1"/>
  <c r="I70" i="1"/>
  <c r="K70" i="1" s="1"/>
  <c r="H70" i="1"/>
  <c r="G70" i="1"/>
  <c r="E70" i="1"/>
  <c r="F70" i="1" s="1"/>
  <c r="L70" i="1" s="1"/>
  <c r="J69" i="1"/>
  <c r="I69" i="1"/>
  <c r="G69" i="1"/>
  <c r="H69" i="1" s="1"/>
  <c r="E69" i="1"/>
  <c r="K69" i="1" s="1"/>
  <c r="K68" i="1"/>
  <c r="J68" i="1"/>
  <c r="I67" i="1" s="1"/>
  <c r="J67" i="1" s="1"/>
  <c r="I68" i="1"/>
  <c r="G68" i="1"/>
  <c r="H68" i="1" s="1"/>
  <c r="F68" i="1"/>
  <c r="E68" i="1"/>
  <c r="I66" i="1"/>
  <c r="J66" i="1" s="1"/>
  <c r="G66" i="1"/>
  <c r="K66" i="1" s="1"/>
  <c r="F66" i="1"/>
  <c r="E66" i="1"/>
  <c r="J65" i="1"/>
  <c r="I65" i="1"/>
  <c r="K65" i="1" s="1"/>
  <c r="H65" i="1"/>
  <c r="G65" i="1"/>
  <c r="E65" i="1"/>
  <c r="F65" i="1" s="1"/>
  <c r="L65" i="1" s="1"/>
  <c r="J64" i="1"/>
  <c r="I63" i="1" s="1"/>
  <c r="J63" i="1" s="1"/>
  <c r="I64" i="1"/>
  <c r="G64" i="1"/>
  <c r="H64" i="1" s="1"/>
  <c r="E64" i="1"/>
  <c r="F64" i="1" s="1"/>
  <c r="I62" i="1"/>
  <c r="J62" i="1" s="1"/>
  <c r="G62" i="1"/>
  <c r="H62" i="1" s="1"/>
  <c r="F62" i="1"/>
  <c r="L62" i="1" s="1"/>
  <c r="E62" i="1"/>
  <c r="K62" i="1" s="1"/>
  <c r="I61" i="1"/>
  <c r="J61" i="1" s="1"/>
  <c r="G61" i="1"/>
  <c r="K61" i="1" s="1"/>
  <c r="F61" i="1"/>
  <c r="E61" i="1"/>
  <c r="J59" i="1"/>
  <c r="I59" i="1"/>
  <c r="G59" i="1"/>
  <c r="H59" i="1" s="1"/>
  <c r="E59" i="1"/>
  <c r="F59" i="1" s="1"/>
  <c r="L59" i="1" s="1"/>
  <c r="K58" i="1"/>
  <c r="J58" i="1"/>
  <c r="I58" i="1"/>
  <c r="G58" i="1"/>
  <c r="H58" i="1" s="1"/>
  <c r="L58" i="1" s="1"/>
  <c r="F58" i="1"/>
  <c r="E58" i="1"/>
  <c r="I57" i="1"/>
  <c r="J57" i="1" s="1"/>
  <c r="I56" i="1" s="1"/>
  <c r="J56" i="1" s="1"/>
  <c r="G57" i="1"/>
  <c r="H57" i="1" s="1"/>
  <c r="G56" i="1" s="1"/>
  <c r="H56" i="1" s="1"/>
  <c r="F57" i="1"/>
  <c r="E56" i="1" s="1"/>
  <c r="E57" i="1"/>
  <c r="K57" i="1" s="1"/>
  <c r="J55" i="1"/>
  <c r="I55" i="1"/>
  <c r="K55" i="1" s="1"/>
  <c r="H55" i="1"/>
  <c r="G55" i="1"/>
  <c r="E55" i="1"/>
  <c r="F55" i="1" s="1"/>
  <c r="L55" i="1" s="1"/>
  <c r="J54" i="1"/>
  <c r="I54" i="1"/>
  <c r="G54" i="1"/>
  <c r="H54" i="1" s="1"/>
  <c r="E54" i="1"/>
  <c r="F54" i="1" s="1"/>
  <c r="L54" i="1" s="1"/>
  <c r="K53" i="1"/>
  <c r="J53" i="1"/>
  <c r="I53" i="1"/>
  <c r="G53" i="1"/>
  <c r="H53" i="1" s="1"/>
  <c r="L53" i="1" s="1"/>
  <c r="F53" i="1"/>
  <c r="E53" i="1"/>
  <c r="I52" i="1"/>
  <c r="J52" i="1" s="1"/>
  <c r="G52" i="1"/>
  <c r="H52" i="1" s="1"/>
  <c r="F52" i="1"/>
  <c r="L52" i="1" s="1"/>
  <c r="E52" i="1"/>
  <c r="K52" i="1" s="1"/>
  <c r="I51" i="1"/>
  <c r="J51" i="1" s="1"/>
  <c r="I50" i="1" s="1"/>
  <c r="J50" i="1" s="1"/>
  <c r="G51" i="1"/>
  <c r="K51" i="1" s="1"/>
  <c r="F51" i="1"/>
  <c r="E51" i="1"/>
  <c r="J49" i="1"/>
  <c r="I49" i="1"/>
  <c r="G49" i="1"/>
  <c r="H49" i="1" s="1"/>
  <c r="E49" i="1"/>
  <c r="F49" i="1" s="1"/>
  <c r="K48" i="1"/>
  <c r="J48" i="1"/>
  <c r="I48" i="1"/>
  <c r="G48" i="1"/>
  <c r="H48" i="1" s="1"/>
  <c r="L48" i="1" s="1"/>
  <c r="F48" i="1"/>
  <c r="E48" i="1"/>
  <c r="I47" i="1"/>
  <c r="J47" i="1" s="1"/>
  <c r="G47" i="1"/>
  <c r="H47" i="1" s="1"/>
  <c r="F47" i="1"/>
  <c r="L47" i="1" s="1"/>
  <c r="E47" i="1"/>
  <c r="K47" i="1" s="1"/>
  <c r="I46" i="1"/>
  <c r="J46" i="1" s="1"/>
  <c r="G46" i="1"/>
  <c r="H46" i="1" s="1"/>
  <c r="F46" i="1"/>
  <c r="L46" i="1" s="1"/>
  <c r="E46" i="1"/>
  <c r="J45" i="1"/>
  <c r="I45" i="1"/>
  <c r="K45" i="1" s="1"/>
  <c r="H45" i="1"/>
  <c r="G45" i="1"/>
  <c r="E45" i="1"/>
  <c r="F45" i="1" s="1"/>
  <c r="L45" i="1" s="1"/>
  <c r="J44" i="1"/>
  <c r="I44" i="1"/>
  <c r="G44" i="1"/>
  <c r="H44" i="1" s="1"/>
  <c r="E44" i="1"/>
  <c r="F44" i="1" s="1"/>
  <c r="L44" i="1" s="1"/>
  <c r="K43" i="1"/>
  <c r="J43" i="1"/>
  <c r="I43" i="1"/>
  <c r="G43" i="1"/>
  <c r="H43" i="1" s="1"/>
  <c r="F43" i="1"/>
  <c r="E42" i="1" s="1"/>
  <c r="E43" i="1"/>
  <c r="J40" i="1"/>
  <c r="I40" i="1"/>
  <c r="K40" i="1" s="1"/>
  <c r="H40" i="1"/>
  <c r="G40" i="1"/>
  <c r="E40" i="1"/>
  <c r="F40" i="1" s="1"/>
  <c r="L40" i="1" s="1"/>
  <c r="J39" i="1"/>
  <c r="I39" i="1"/>
  <c r="G39" i="1"/>
  <c r="H39" i="1" s="1"/>
  <c r="E39" i="1"/>
  <c r="K39" i="1" s="1"/>
  <c r="K38" i="1"/>
  <c r="J38" i="1"/>
  <c r="I38" i="1"/>
  <c r="G38" i="1"/>
  <c r="H38" i="1" s="1"/>
  <c r="L38" i="1" s="1"/>
  <c r="F38" i="1"/>
  <c r="E38" i="1"/>
  <c r="I37" i="1"/>
  <c r="J37" i="1" s="1"/>
  <c r="G37" i="1"/>
  <c r="H37" i="1" s="1"/>
  <c r="F37" i="1"/>
  <c r="L37" i="1" s="1"/>
  <c r="E37" i="1"/>
  <c r="K37" i="1" s="1"/>
  <c r="I36" i="1"/>
  <c r="J36" i="1" s="1"/>
  <c r="I35" i="1" s="1"/>
  <c r="J35" i="1" s="1"/>
  <c r="G36" i="1"/>
  <c r="K36" i="1" s="1"/>
  <c r="F36" i="1"/>
  <c r="E36" i="1"/>
  <c r="I34" i="1"/>
  <c r="J34" i="1" s="1"/>
  <c r="G34" i="1"/>
  <c r="H34" i="1" s="1"/>
  <c r="E34" i="1"/>
  <c r="F34" i="1" s="1"/>
  <c r="I33" i="1"/>
  <c r="J33" i="1" s="1"/>
  <c r="L33" i="1" s="1"/>
  <c r="T33" i="1" s="1"/>
  <c r="H33" i="1"/>
  <c r="G33" i="1"/>
  <c r="K33" i="1" s="1"/>
  <c r="F33" i="1"/>
  <c r="E33" i="1"/>
  <c r="I32" i="1"/>
  <c r="J32" i="1" s="1"/>
  <c r="G32" i="1"/>
  <c r="H32" i="1" s="1"/>
  <c r="E32" i="1"/>
  <c r="K32" i="1" s="1"/>
  <c r="K31" i="1"/>
  <c r="J31" i="1"/>
  <c r="I31" i="1"/>
  <c r="G31" i="1"/>
  <c r="H31" i="1" s="1"/>
  <c r="L31" i="1" s="1"/>
  <c r="T31" i="1" s="1"/>
  <c r="F31" i="1"/>
  <c r="E31" i="1"/>
  <c r="I30" i="1"/>
  <c r="J30" i="1" s="1"/>
  <c r="G30" i="1"/>
  <c r="H30" i="1" s="1"/>
  <c r="F30" i="1"/>
  <c r="L30" i="1" s="1"/>
  <c r="E30" i="1"/>
  <c r="K30" i="1" s="1"/>
  <c r="I29" i="1"/>
  <c r="J29" i="1" s="1"/>
  <c r="G29" i="1"/>
  <c r="K29" i="1" s="1"/>
  <c r="F29" i="1"/>
  <c r="E29" i="1"/>
  <c r="J28" i="1"/>
  <c r="I28" i="1"/>
  <c r="K28" i="1" s="1"/>
  <c r="H28" i="1"/>
  <c r="G28" i="1"/>
  <c r="E28" i="1"/>
  <c r="F28" i="1" s="1"/>
  <c r="L28" i="1" s="1"/>
  <c r="J27" i="1"/>
  <c r="I27" i="1"/>
  <c r="G27" i="1"/>
  <c r="H27" i="1" s="1"/>
  <c r="E27" i="1"/>
  <c r="F27" i="1" s="1"/>
  <c r="L27" i="1" s="1"/>
  <c r="K26" i="1"/>
  <c r="J26" i="1"/>
  <c r="I26" i="1"/>
  <c r="G26" i="1"/>
  <c r="H26" i="1" s="1"/>
  <c r="L26" i="1" s="1"/>
  <c r="F26" i="1"/>
  <c r="E26" i="1"/>
  <c r="I25" i="1"/>
  <c r="J25" i="1" s="1"/>
  <c r="G25" i="1"/>
  <c r="H25" i="1" s="1"/>
  <c r="E25" i="1"/>
  <c r="F25" i="1" s="1"/>
  <c r="I24" i="1"/>
  <c r="J24" i="1" s="1"/>
  <c r="G24" i="1"/>
  <c r="H24" i="1" s="1"/>
  <c r="F24" i="1"/>
  <c r="L24" i="1" s="1"/>
  <c r="E24" i="1"/>
  <c r="J23" i="1"/>
  <c r="I23" i="1"/>
  <c r="K23" i="1" s="1"/>
  <c r="H23" i="1"/>
  <c r="G23" i="1"/>
  <c r="E23" i="1"/>
  <c r="F23" i="1" s="1"/>
  <c r="L23" i="1" s="1"/>
  <c r="I22" i="1"/>
  <c r="J22" i="1" s="1"/>
  <c r="G22" i="1"/>
  <c r="H22" i="1" s="1"/>
  <c r="E22" i="1"/>
  <c r="F22" i="1" s="1"/>
  <c r="L22" i="1" s="1"/>
  <c r="K21" i="1"/>
  <c r="J21" i="1"/>
  <c r="I21" i="1"/>
  <c r="G21" i="1"/>
  <c r="H21" i="1" s="1"/>
  <c r="L21" i="1" s="1"/>
  <c r="F21" i="1"/>
  <c r="E21" i="1"/>
  <c r="I20" i="1"/>
  <c r="J20" i="1" s="1"/>
  <c r="G20" i="1"/>
  <c r="H20" i="1" s="1"/>
  <c r="E20" i="1"/>
  <c r="F20" i="1" s="1"/>
  <c r="I19" i="1"/>
  <c r="J19" i="1" s="1"/>
  <c r="G19" i="1"/>
  <c r="H19" i="1" s="1"/>
  <c r="F19" i="1"/>
  <c r="L19" i="1" s="1"/>
  <c r="E19" i="1"/>
  <c r="J18" i="1"/>
  <c r="I18" i="1"/>
  <c r="K18" i="1" s="1"/>
  <c r="H18" i="1"/>
  <c r="G18" i="1"/>
  <c r="E18" i="1"/>
  <c r="F18" i="1" s="1"/>
  <c r="L18" i="1" s="1"/>
  <c r="I17" i="1"/>
  <c r="J17" i="1" s="1"/>
  <c r="G17" i="1"/>
  <c r="H17" i="1" s="1"/>
  <c r="E17" i="1"/>
  <c r="F17" i="1" s="1"/>
  <c r="L17" i="1" s="1"/>
  <c r="K16" i="1"/>
  <c r="J16" i="1"/>
  <c r="I16" i="1"/>
  <c r="G16" i="1"/>
  <c r="H16" i="1" s="1"/>
  <c r="L16" i="1" s="1"/>
  <c r="F16" i="1"/>
  <c r="E16" i="1"/>
  <c r="I15" i="1"/>
  <c r="J15" i="1" s="1"/>
  <c r="G15" i="1"/>
  <c r="H15" i="1" s="1"/>
  <c r="E15" i="1"/>
  <c r="F15" i="1" s="1"/>
  <c r="L15" i="1" s="1"/>
  <c r="I14" i="1"/>
  <c r="J14" i="1" s="1"/>
  <c r="G14" i="1"/>
  <c r="K14" i="1" s="1"/>
  <c r="F14" i="1"/>
  <c r="E14" i="1"/>
  <c r="J13" i="1"/>
  <c r="I13" i="1"/>
  <c r="K13" i="1" s="1"/>
  <c r="H13" i="1"/>
  <c r="G13" i="1"/>
  <c r="E13" i="1"/>
  <c r="F13" i="1" s="1"/>
  <c r="L13" i="1" s="1"/>
  <c r="I12" i="1"/>
  <c r="J12" i="1" s="1"/>
  <c r="G12" i="1"/>
  <c r="H12" i="1" s="1"/>
  <c r="E12" i="1"/>
  <c r="F12" i="1" s="1"/>
  <c r="L12" i="1" s="1"/>
  <c r="K11" i="1"/>
  <c r="J11" i="1"/>
  <c r="I11" i="1"/>
  <c r="G11" i="1"/>
  <c r="H11" i="1" s="1"/>
  <c r="L11" i="1" s="1"/>
  <c r="F11" i="1"/>
  <c r="E11" i="1"/>
  <c r="I10" i="1"/>
  <c r="J10" i="1" s="1"/>
  <c r="G10" i="1"/>
  <c r="H10" i="1" s="1"/>
  <c r="E10" i="1"/>
  <c r="K10" i="1" s="1"/>
  <c r="I9" i="1"/>
  <c r="J9" i="1" s="1"/>
  <c r="G9" i="1"/>
  <c r="H9" i="1" s="1"/>
  <c r="F9" i="1"/>
  <c r="L9" i="1" s="1"/>
  <c r="E9" i="1"/>
  <c r="J8" i="1"/>
  <c r="I8" i="1"/>
  <c r="K8" i="1" s="1"/>
  <c r="H8" i="1"/>
  <c r="G8" i="1"/>
  <c r="E8" i="1"/>
  <c r="F8" i="1" s="1"/>
  <c r="L8" i="1" s="1"/>
  <c r="I7" i="1"/>
  <c r="J7" i="1" s="1"/>
  <c r="G7" i="1"/>
  <c r="H7" i="1" s="1"/>
  <c r="E7" i="1"/>
  <c r="K7" i="1" s="1"/>
  <c r="K56" i="1" l="1"/>
  <c r="F56" i="1"/>
  <c r="L56" i="1" s="1"/>
  <c r="F42" i="1"/>
  <c r="I42" i="1"/>
  <c r="J42" i="1" s="1"/>
  <c r="L49" i="1"/>
  <c r="L43" i="1"/>
  <c r="G42" i="1"/>
  <c r="H42" i="1" s="1"/>
  <c r="L61" i="1"/>
  <c r="G6" i="1"/>
  <c r="H6" i="1" s="1"/>
  <c r="I6" i="1"/>
  <c r="J6" i="1" s="1"/>
  <c r="L29" i="1"/>
  <c r="G67" i="1"/>
  <c r="H67" i="1" s="1"/>
  <c r="L68" i="1"/>
  <c r="E63" i="1"/>
  <c r="L64" i="1"/>
  <c r="G63" i="1"/>
  <c r="H63" i="1" s="1"/>
  <c r="K71" i="1"/>
  <c r="F71" i="1"/>
  <c r="L71" i="1" s="1"/>
  <c r="L20" i="1"/>
  <c r="I60" i="1"/>
  <c r="J60" i="1" s="1"/>
  <c r="L25" i="1"/>
  <c r="L34" i="1"/>
  <c r="T34" i="1" s="1"/>
  <c r="H14" i="1"/>
  <c r="L14" i="1" s="1"/>
  <c r="H29" i="1"/>
  <c r="F7" i="1"/>
  <c r="F69" i="1"/>
  <c r="L69" i="1" s="1"/>
  <c r="K9" i="1"/>
  <c r="K19" i="1"/>
  <c r="F32" i="1"/>
  <c r="L32" i="1" s="1"/>
  <c r="T32" i="1" s="1"/>
  <c r="F10" i="1"/>
  <c r="L10" i="1" s="1"/>
  <c r="H66" i="1"/>
  <c r="L66" i="1" s="1"/>
  <c r="F39" i="1"/>
  <c r="L39" i="1" s="1"/>
  <c r="K46" i="1"/>
  <c r="K34" i="1"/>
  <c r="K12" i="1"/>
  <c r="K17" i="1"/>
  <c r="K22" i="1"/>
  <c r="K27" i="1"/>
  <c r="K44" i="1"/>
  <c r="K49" i="1"/>
  <c r="K54" i="1"/>
  <c r="K59" i="1"/>
  <c r="K64" i="1"/>
  <c r="E50" i="1"/>
  <c r="E60" i="1"/>
  <c r="K15" i="1"/>
  <c r="K20" i="1"/>
  <c r="K25" i="1"/>
  <c r="K24" i="1"/>
  <c r="L57" i="1"/>
  <c r="L72" i="1"/>
  <c r="H36" i="1"/>
  <c r="G35" i="1" s="1"/>
  <c r="H35" i="1" s="1"/>
  <c r="H51" i="1"/>
  <c r="G50" i="1" s="1"/>
  <c r="H50" i="1" s="1"/>
  <c r="H61" i="1"/>
  <c r="G60" i="1" s="1"/>
  <c r="H60" i="1" s="1"/>
  <c r="K60" i="1" l="1"/>
  <c r="F60" i="1"/>
  <c r="L60" i="1" s="1"/>
  <c r="E6" i="1"/>
  <c r="L7" i="1"/>
  <c r="L36" i="1"/>
  <c r="K50" i="1"/>
  <c r="F50" i="1"/>
  <c r="L50" i="1" s="1"/>
  <c r="F63" i="1"/>
  <c r="L63" i="1" s="1"/>
  <c r="K63" i="1"/>
  <c r="E35" i="1"/>
  <c r="G41" i="1"/>
  <c r="H41" i="1" s="1"/>
  <c r="G5" i="1" s="1"/>
  <c r="H5" i="1" s="1"/>
  <c r="H96" i="1" s="1"/>
  <c r="L51" i="1"/>
  <c r="I41" i="1"/>
  <c r="J41" i="1" s="1"/>
  <c r="I5" i="1" s="1"/>
  <c r="J5" i="1" s="1"/>
  <c r="J96" i="1" s="1"/>
  <c r="L42" i="1"/>
  <c r="E67" i="1"/>
  <c r="K42" i="1"/>
  <c r="K67" i="1" l="1"/>
  <c r="F67" i="1"/>
  <c r="K35" i="1"/>
  <c r="F35" i="1"/>
  <c r="L35" i="1" s="1"/>
  <c r="F6" i="1"/>
  <c r="K6" i="1"/>
  <c r="L6" i="1" l="1"/>
  <c r="L67" i="1"/>
  <c r="E41" i="1"/>
  <c r="F41" i="1" l="1"/>
  <c r="K41" i="1"/>
  <c r="L41" i="1" l="1"/>
  <c r="E5" i="1"/>
  <c r="K5" i="1" l="1"/>
  <c r="F5" i="1"/>
  <c r="F96" i="1" l="1"/>
  <c r="L5" i="1"/>
  <c r="L96" i="1" s="1"/>
</calcChain>
</file>

<file path=xl/sharedStrings.xml><?xml version="1.0" encoding="utf-8"?>
<sst xmlns="http://schemas.openxmlformats.org/spreadsheetml/2006/main" count="658" uniqueCount="170">
  <si>
    <t>공 종 별 집 계 표</t>
  </si>
  <si>
    <t>[ 한국정보통신공사협회 제주특별자치도 회관 신축공사 ]</t>
  </si>
  <si>
    <t>품      명</t>
  </si>
  <si>
    <t>규      격</t>
  </si>
  <si>
    <t>단위</t>
  </si>
  <si>
    <t>수량</t>
  </si>
  <si>
    <t>재  료  비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</si>
  <si>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</si>
  <si>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</si>
  <si>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</si>
  <si>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</si>
  <si>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</si>
  <si>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</si>
  <si>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</si>
  <si>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</si>
  <si>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</si>
  <si>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</si>
  <si>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</si>
  <si>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단  가</t>
  </si>
  <si>
    <t>금  액</t>
  </si>
  <si>
    <t>01  한국정보통신공사협회 제주특별자치도 회관 신축공사</t>
  </si>
  <si>
    <t/>
  </si>
  <si>
    <t>01</t>
  </si>
  <si>
    <t>0101  ▼ 건축공사 ▼</t>
  </si>
  <si>
    <t>0101</t>
  </si>
  <si>
    <t>010101  공통 가설 공사</t>
  </si>
  <si>
    <t>010101</t>
  </si>
  <si>
    <t>010102  가  설  공  사</t>
  </si>
  <si>
    <t>010102</t>
  </si>
  <si>
    <t>010103  토 및 지정공사</t>
  </si>
  <si>
    <t>010103</t>
  </si>
  <si>
    <t>010104  철근콘크리트공사</t>
  </si>
  <si>
    <t>010104</t>
  </si>
  <si>
    <t>010105  조  적  공  사</t>
  </si>
  <si>
    <t>010105</t>
  </si>
  <si>
    <t>010106  돌    공    사</t>
  </si>
  <si>
    <t>010106</t>
  </si>
  <si>
    <t>010107  타  일  공  사</t>
  </si>
  <si>
    <t>010107</t>
  </si>
  <si>
    <t>010108  목공사및수장공사</t>
  </si>
  <si>
    <t>010108</t>
  </si>
  <si>
    <t>010109  방  수  공  사</t>
  </si>
  <si>
    <t>010109</t>
  </si>
  <si>
    <t>010110  지붕 및 홈통공사</t>
  </si>
  <si>
    <t>010110</t>
  </si>
  <si>
    <t>010111  금  속  공  사</t>
  </si>
  <si>
    <t>010111</t>
  </si>
  <si>
    <t>010112  미  장  공  사</t>
  </si>
  <si>
    <t>010112</t>
  </si>
  <si>
    <t>010113  창  호  공  사</t>
  </si>
  <si>
    <t>010113</t>
  </si>
  <si>
    <t>010114  유  리  공  사</t>
  </si>
  <si>
    <t>010114</t>
  </si>
  <si>
    <t>010115  칠    공    사</t>
  </si>
  <si>
    <t>010115</t>
  </si>
  <si>
    <t>010116  기  타  공  사</t>
  </si>
  <si>
    <t>010116</t>
  </si>
  <si>
    <t>010117  간  판  공  사</t>
  </si>
  <si>
    <t>010117</t>
  </si>
  <si>
    <t>010118  조  경  공  사</t>
  </si>
  <si>
    <t>010118</t>
  </si>
  <si>
    <t>010119  장애인편의시설</t>
  </si>
  <si>
    <t>010119</t>
  </si>
  <si>
    <t>010120  판  넬  공  사</t>
  </si>
  <si>
    <t>010120</t>
  </si>
  <si>
    <t>010121  지반보강공사</t>
  </si>
  <si>
    <t>010121</t>
  </si>
  <si>
    <t>010122  골    재    비</t>
  </si>
  <si>
    <t>010122</t>
  </si>
  <si>
    <t>010123  철  거  공  사</t>
    <phoneticPr fontId="3" type="noConversion"/>
  </si>
  <si>
    <t>010123</t>
  </si>
  <si>
    <t>010124  건설폐기물상차비</t>
  </si>
  <si>
    <t>환경관리비</t>
  </si>
  <si>
    <t>010124</t>
  </si>
  <si>
    <t>0102  철  거  고  재</t>
    <phoneticPr fontId="3" type="noConversion"/>
  </si>
  <si>
    <t>기존건물 철거공사</t>
  </si>
  <si>
    <t>0102</t>
  </si>
  <si>
    <t>A</t>
  </si>
  <si>
    <t>0103  작 업 부 산 물</t>
    <phoneticPr fontId="3" type="noConversion"/>
  </si>
  <si>
    <t>0103</t>
  </si>
  <si>
    <t>1</t>
  </si>
  <si>
    <t>0104  품질관리비</t>
    <phoneticPr fontId="3" type="noConversion"/>
  </si>
  <si>
    <t>0104</t>
  </si>
  <si>
    <t>4</t>
  </si>
  <si>
    <t>0105  안전관리비</t>
    <phoneticPr fontId="3" type="noConversion"/>
  </si>
  <si>
    <t>0105</t>
  </si>
  <si>
    <t>5</t>
  </si>
  <si>
    <t>0106  ▼ 기계설비공사 ▼</t>
  </si>
  <si>
    <t>0106</t>
  </si>
  <si>
    <t>010601  장비 및 위생기구 신설공사</t>
  </si>
  <si>
    <t>010601</t>
  </si>
  <si>
    <t>010602  급수, 급탕배관 신설공사</t>
  </si>
  <si>
    <t>010602</t>
  </si>
  <si>
    <t>010603  오, 배수배관 신설공사</t>
  </si>
  <si>
    <t>010603</t>
  </si>
  <si>
    <t>010604  환기배관 신설공사</t>
  </si>
  <si>
    <t>010604</t>
  </si>
  <si>
    <t>010605  냉난방기 신설공사</t>
  </si>
  <si>
    <t>010605</t>
  </si>
  <si>
    <t>0107  ▼ 토목공사 ▼</t>
  </si>
  <si>
    <t>0107</t>
  </si>
  <si>
    <t>010701  토공</t>
  </si>
  <si>
    <t>010701</t>
  </si>
  <si>
    <t>01070101  기존구조물깨기</t>
  </si>
  <si>
    <t>01070101</t>
  </si>
  <si>
    <t>01070102  기존포장깨기</t>
  </si>
  <si>
    <t>01070102</t>
  </si>
  <si>
    <t>01070103  안전휀스철거</t>
  </si>
  <si>
    <t>01070103</t>
  </si>
  <si>
    <t>01070104  흙깎기</t>
  </si>
  <si>
    <t>01070104</t>
  </si>
  <si>
    <t>01070105  흙쌓기</t>
  </si>
  <si>
    <t>01070105</t>
  </si>
  <si>
    <t>01070106  사토운반</t>
  </si>
  <si>
    <t>01070106</t>
  </si>
  <si>
    <t>01070107  건설폐기물 상차</t>
  </si>
  <si>
    <t>01070107</t>
  </si>
  <si>
    <t>010702  우수공</t>
  </si>
  <si>
    <t>010702</t>
  </si>
  <si>
    <t>01070201  토공</t>
  </si>
  <si>
    <t>01070201</t>
  </si>
  <si>
    <t>01070202  우수맨홀설치</t>
  </si>
  <si>
    <t>01070202</t>
  </si>
  <si>
    <t>01070203  우수침투조</t>
  </si>
  <si>
    <t>01070203</t>
  </si>
  <si>
    <t>01070204  배수관접합및부설</t>
  </si>
  <si>
    <t>01070204</t>
  </si>
  <si>
    <t>01070205  우수받이설치</t>
  </si>
  <si>
    <t>01070205</t>
  </si>
  <si>
    <t>010703  오수공</t>
  </si>
  <si>
    <t>010703</t>
  </si>
  <si>
    <t>01070301  토공</t>
  </si>
  <si>
    <t>01070301</t>
  </si>
  <si>
    <t>01070302  오수받이설치</t>
  </si>
  <si>
    <t>01070302</t>
  </si>
  <si>
    <t>01070303  오수연결관</t>
  </si>
  <si>
    <t>01070303</t>
  </si>
  <si>
    <t>010704  구조물공</t>
  </si>
  <si>
    <t>010704</t>
  </si>
  <si>
    <t>01070401  돌담쌓기</t>
  </si>
  <si>
    <t>01070401</t>
  </si>
  <si>
    <t>01070402  담장쌓기</t>
  </si>
  <si>
    <t>01070402</t>
  </si>
  <si>
    <t>010705  포장공</t>
  </si>
  <si>
    <t>010705</t>
  </si>
  <si>
    <t>01070501  아스콘포장</t>
  </si>
  <si>
    <t>01070501</t>
  </si>
  <si>
    <t>01070502  보도포장</t>
  </si>
  <si>
    <t>01070502</t>
  </si>
  <si>
    <t>01070503  경계석설치</t>
  </si>
  <si>
    <t>01070503</t>
  </si>
  <si>
    <t>010706  안전시설공</t>
  </si>
  <si>
    <t>010706</t>
  </si>
  <si>
    <t>01070601  차선도색</t>
  </si>
  <si>
    <t>01070601</t>
  </si>
  <si>
    <t>01070602  주차블럭</t>
  </si>
  <si>
    <t>01070602</t>
  </si>
  <si>
    <t>01070603  차선규제봉</t>
  </si>
  <si>
    <t>01070603</t>
  </si>
  <si>
    <t>010707  부대공</t>
  </si>
  <si>
    <t>010707</t>
  </si>
  <si>
    <t>01070701  공사안내표지판</t>
  </si>
  <si>
    <t>01070701</t>
  </si>
  <si>
    <t>010708  사급자재대</t>
  </si>
  <si>
    <t>010708</t>
  </si>
  <si>
    <t>010709  운반비</t>
  </si>
  <si>
    <t>010709</t>
  </si>
  <si>
    <t>2</t>
  </si>
  <si>
    <t>0108 폐기물처리비</t>
    <phoneticPr fontId="3" type="noConversion"/>
  </si>
  <si>
    <t>[ 합           계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</si>
</sst>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0" quotePrefix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1" xfId="0" quotePrefix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quotePrefix="1" applyFont="1" applyBorder="1" applyAlignment="1">
      <alignment horizontal="center" vertical="center"/>
    </xf>
    <xf numFmtId="0" fontId="0" fillId="0" borderId="0" xfId="0" quotePrefix="1">
      <alignment vertical="center"/>
    </xf>
    <xf numFmtId="0" fontId="5" fillId="0" borderId="4" xfId="0" quotePrefix="1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76" fontId="4" fillId="0" borderId="4" xfId="0" applyNumberFormat="1" applyFont="1" applyBorder="1" applyAlignment="1">
      <alignment vertical="center" wrapText="1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1" fontId="4" fillId="0" borderId="4" xfId="0" applyNumberFormat="1" applyFont="1" applyBorder="1" applyAlignment="1">
      <alignment vertical="center" wrapText="1"/>
    </xf>
    <xf numFmtId="41" fontId="4" fillId="0" borderId="4" xfId="1" applyFont="1" applyBorder="1" applyAlignment="1">
      <alignment vertical="center" wrapText="1"/>
    </xf>
    <xf numFmtId="176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2026%20&#50724;&#46972;&#46041;&#54788;&#51109;\03.&#44228;&#50557;&#45236;&#50669;\&#44228;&#50557;&#45236;&#50669;&#49436;(&#49688;&#51221;)_&#54620;&#44397;&#51221;&#48372;&#53685;&#49888;&#44277;&#49324;&#54801;&#54924;%20&#51228;&#51452;&#53945;&#48324;&#51088;&#52824;&#46020;%20&#54924;&#44288;%20&#49888;&#52629;&#44277;&#4932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4868;\C\&#51089;&#50629;\xls\&#44053;&#48513;%20&#44032;&#47196;\&#53945;&#49353;&#51080;&#45716;%20&#45433;&#54868;&#44144;&#47532;%20&#51312;&#49457;&#44277;&#49324;(2&#50900;%2010&#51068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221;\&#47196;&#52972;%20&#46356;&#49828;&#53356;%20(e)\&#50629;&#47924;\&#54924;&#49324;\&#46300;&#47548;&#51333;&#54633;&#44148;&#49444;\&#54868;&#46020;&#44277;&#44277;&#46020;&#49436;&#44288;\&#45236;&#50669;&#49436;%20(&#44148;&#52629;,&#53664;&#47785;)%20&#45224;&#50577;&#51452;\&#44228;&#50557;&#45236;&#5066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a\d\DATA\XLS\SK&amp;C\DONGHAE\T6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21;&#51452;\Work\Work\ACAD\&#48513;&#44400;&#52397;&#51613;&#52629;\2003.12\&#45225;&#54408;\&#51068;&#50948;&#45824;&#440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원가계산서"/>
      <sheetName val="공종별집계표"/>
      <sheetName val="공종별내역서"/>
      <sheetName val="일위대가목록"/>
      <sheetName val="일위대가"/>
      <sheetName val="단가대비표"/>
      <sheetName val="단가산출목록"/>
      <sheetName val="단가산출서"/>
      <sheetName val=" 공사설정 "/>
      <sheetName val="Sheet1"/>
    </sheetNames>
    <sheetDataSet>
      <sheetData sheetId="0"/>
      <sheetData sheetId="1"/>
      <sheetData sheetId="2"/>
      <sheetData sheetId="3">
        <row r="27">
          <cell r="F27">
            <v>0</v>
          </cell>
          <cell r="H27">
            <v>0</v>
          </cell>
          <cell r="J27">
            <v>10169428</v>
          </cell>
        </row>
        <row r="50">
          <cell r="F50">
            <v>19382175</v>
          </cell>
          <cell r="H50">
            <v>32954542</v>
          </cell>
          <cell r="J50">
            <v>308544</v>
          </cell>
        </row>
        <row r="73">
          <cell r="F73">
            <v>2043376</v>
          </cell>
          <cell r="H73">
            <v>1765806</v>
          </cell>
          <cell r="J73">
            <v>1622277</v>
          </cell>
        </row>
        <row r="119">
          <cell r="F119">
            <v>262335976</v>
          </cell>
          <cell r="H119">
            <v>127543473</v>
          </cell>
          <cell r="J119">
            <v>8225750</v>
          </cell>
        </row>
        <row r="142">
          <cell r="F142">
            <v>954396</v>
          </cell>
          <cell r="H142">
            <v>2252996</v>
          </cell>
          <cell r="J142">
            <v>35479</v>
          </cell>
        </row>
        <row r="165">
          <cell r="F165">
            <v>78691117</v>
          </cell>
          <cell r="H165">
            <v>65862468</v>
          </cell>
          <cell r="J165">
            <v>1879689</v>
          </cell>
        </row>
        <row r="188">
          <cell r="F188">
            <v>19581641</v>
          </cell>
          <cell r="H188">
            <v>18144801</v>
          </cell>
          <cell r="J188">
            <v>451520</v>
          </cell>
        </row>
        <row r="211">
          <cell r="F211">
            <v>70662143</v>
          </cell>
          <cell r="H211">
            <v>17135253</v>
          </cell>
          <cell r="J211">
            <v>275654</v>
          </cell>
        </row>
        <row r="234">
          <cell r="F234">
            <v>13982936</v>
          </cell>
          <cell r="H234">
            <v>14490124</v>
          </cell>
          <cell r="J234">
            <v>358652</v>
          </cell>
        </row>
        <row r="257">
          <cell r="F257">
            <v>3390559</v>
          </cell>
          <cell r="H257">
            <v>3098404</v>
          </cell>
          <cell r="J257">
            <v>0</v>
          </cell>
        </row>
        <row r="280">
          <cell r="F280">
            <v>48238363</v>
          </cell>
          <cell r="H280">
            <v>17694863</v>
          </cell>
          <cell r="J280">
            <v>612555</v>
          </cell>
        </row>
        <row r="303">
          <cell r="F303">
            <v>3135430</v>
          </cell>
          <cell r="H303">
            <v>15926409</v>
          </cell>
          <cell r="J303">
            <v>273426</v>
          </cell>
        </row>
        <row r="349">
          <cell r="F349">
            <v>65449170</v>
          </cell>
          <cell r="H349">
            <v>6948573</v>
          </cell>
          <cell r="J349">
            <v>2119733</v>
          </cell>
        </row>
        <row r="372">
          <cell r="F372">
            <v>23959872</v>
          </cell>
          <cell r="H372">
            <v>995252</v>
          </cell>
          <cell r="J372">
            <v>87305</v>
          </cell>
        </row>
        <row r="395">
          <cell r="F395">
            <v>15430839</v>
          </cell>
          <cell r="H395">
            <v>5838022</v>
          </cell>
          <cell r="J395">
            <v>0</v>
          </cell>
        </row>
        <row r="418">
          <cell r="F418">
            <v>2715920</v>
          </cell>
          <cell r="H418">
            <v>393121</v>
          </cell>
          <cell r="J418">
            <v>9274</v>
          </cell>
        </row>
        <row r="441">
          <cell r="F441">
            <v>3251630</v>
          </cell>
          <cell r="H441">
            <v>440600</v>
          </cell>
          <cell r="J441">
            <v>440600</v>
          </cell>
        </row>
        <row r="464">
          <cell r="F464">
            <v>6012534</v>
          </cell>
          <cell r="H464">
            <v>544674</v>
          </cell>
          <cell r="J464">
            <v>44440</v>
          </cell>
        </row>
        <row r="487">
          <cell r="F487">
            <v>431788</v>
          </cell>
          <cell r="H487">
            <v>0</v>
          </cell>
          <cell r="J487">
            <v>0</v>
          </cell>
        </row>
        <row r="510">
          <cell r="F510">
            <v>24424117</v>
          </cell>
          <cell r="H510">
            <v>0</v>
          </cell>
          <cell r="J510">
            <v>0</v>
          </cell>
        </row>
        <row r="533">
          <cell r="F533">
            <v>4000000</v>
          </cell>
          <cell r="H533">
            <v>6000000</v>
          </cell>
          <cell r="J533">
            <v>10000000</v>
          </cell>
        </row>
        <row r="556">
          <cell r="F556">
            <v>11655150</v>
          </cell>
          <cell r="H556">
            <v>0</v>
          </cell>
          <cell r="J556">
            <v>0</v>
          </cell>
        </row>
        <row r="579">
          <cell r="F579">
            <v>13000000</v>
          </cell>
          <cell r="H579">
            <v>0</v>
          </cell>
          <cell r="J579">
            <v>0</v>
          </cell>
        </row>
        <row r="602">
          <cell r="F602">
            <v>0</v>
          </cell>
          <cell r="H602">
            <v>0</v>
          </cell>
          <cell r="J602">
            <v>217463</v>
          </cell>
        </row>
        <row r="625">
          <cell r="F625">
            <v>-500000</v>
          </cell>
          <cell r="H625">
            <v>0</v>
          </cell>
          <cell r="J625">
            <v>0</v>
          </cell>
        </row>
        <row r="648">
          <cell r="F648">
            <v>-672531</v>
          </cell>
          <cell r="H648">
            <v>0</v>
          </cell>
          <cell r="J648">
            <v>0</v>
          </cell>
        </row>
        <row r="671">
          <cell r="F671">
            <v>0</v>
          </cell>
          <cell r="H671">
            <v>0</v>
          </cell>
          <cell r="J671">
            <v>1259352</v>
          </cell>
        </row>
        <row r="694">
          <cell r="F694">
            <v>0</v>
          </cell>
          <cell r="H694">
            <v>0</v>
          </cell>
          <cell r="J694">
            <v>2731720</v>
          </cell>
        </row>
        <row r="717">
          <cell r="F717">
            <v>24341463</v>
          </cell>
          <cell r="H717">
            <v>2215278</v>
          </cell>
          <cell r="J717">
            <v>440600</v>
          </cell>
        </row>
        <row r="809">
          <cell r="F809">
            <v>8521975</v>
          </cell>
          <cell r="H809">
            <v>4018927</v>
          </cell>
          <cell r="J809">
            <v>0</v>
          </cell>
        </row>
        <row r="878">
          <cell r="F878">
            <v>3631914</v>
          </cell>
          <cell r="H878">
            <v>4706229</v>
          </cell>
          <cell r="J878">
            <v>0</v>
          </cell>
        </row>
        <row r="901">
          <cell r="F901">
            <v>464124</v>
          </cell>
          <cell r="H901">
            <v>829446</v>
          </cell>
          <cell r="J901">
            <v>0</v>
          </cell>
        </row>
        <row r="947">
          <cell r="F947">
            <v>93286043</v>
          </cell>
          <cell r="H947">
            <v>0</v>
          </cell>
          <cell r="J947">
            <v>0</v>
          </cell>
        </row>
        <row r="970">
          <cell r="F970">
            <v>125444</v>
          </cell>
          <cell r="H970">
            <v>250256</v>
          </cell>
          <cell r="J970">
            <v>215437</v>
          </cell>
        </row>
        <row r="993">
          <cell r="F993">
            <v>762131</v>
          </cell>
          <cell r="H993">
            <v>1549941</v>
          </cell>
          <cell r="J993">
            <v>1284000</v>
          </cell>
        </row>
        <row r="1016">
          <cell r="F1016">
            <v>11040</v>
          </cell>
          <cell r="H1016">
            <v>220032</v>
          </cell>
          <cell r="J1016">
            <v>0</v>
          </cell>
        </row>
        <row r="1039">
          <cell r="F1039">
            <v>23141</v>
          </cell>
          <cell r="H1039">
            <v>34456</v>
          </cell>
          <cell r="J1039">
            <v>31682</v>
          </cell>
        </row>
        <row r="1062">
          <cell r="F1062">
            <v>13728</v>
          </cell>
          <cell r="H1062">
            <v>20448</v>
          </cell>
          <cell r="J1062">
            <v>18816</v>
          </cell>
        </row>
        <row r="1085">
          <cell r="F1085">
            <v>183685</v>
          </cell>
          <cell r="H1085">
            <v>138040</v>
          </cell>
          <cell r="J1085">
            <v>151980</v>
          </cell>
        </row>
        <row r="1108">
          <cell r="F1108">
            <v>191878</v>
          </cell>
          <cell r="H1108">
            <v>286044</v>
          </cell>
          <cell r="J1108">
            <v>262995</v>
          </cell>
        </row>
        <row r="1131">
          <cell r="F1131">
            <v>211840</v>
          </cell>
          <cell r="H1131">
            <v>1395128</v>
          </cell>
          <cell r="J1131">
            <v>242912</v>
          </cell>
        </row>
        <row r="1154">
          <cell r="F1154">
            <v>36409</v>
          </cell>
          <cell r="H1154">
            <v>603212</v>
          </cell>
          <cell r="J1154">
            <v>150259</v>
          </cell>
        </row>
        <row r="1177">
          <cell r="F1177">
            <v>899887</v>
          </cell>
          <cell r="H1177">
            <v>1722257</v>
          </cell>
          <cell r="J1177">
            <v>19340</v>
          </cell>
        </row>
        <row r="1200">
          <cell r="F1200">
            <v>192976</v>
          </cell>
          <cell r="H1200">
            <v>756608</v>
          </cell>
          <cell r="J1200">
            <v>254980</v>
          </cell>
        </row>
        <row r="1223">
          <cell r="F1223">
            <v>451211</v>
          </cell>
          <cell r="H1223">
            <v>918345</v>
          </cell>
          <cell r="J1223">
            <v>4456</v>
          </cell>
        </row>
        <row r="1246">
          <cell r="F1246">
            <v>10660</v>
          </cell>
          <cell r="H1246">
            <v>60292</v>
          </cell>
          <cell r="J1246">
            <v>12072</v>
          </cell>
        </row>
        <row r="1269">
          <cell r="F1269">
            <v>0</v>
          </cell>
          <cell r="H1269">
            <v>24498</v>
          </cell>
          <cell r="J1269">
            <v>0</v>
          </cell>
        </row>
        <row r="1292">
          <cell r="F1292">
            <v>1256</v>
          </cell>
          <cell r="H1292">
            <v>57482</v>
          </cell>
          <cell r="J1292">
            <v>456</v>
          </cell>
        </row>
        <row r="1315">
          <cell r="F1315">
            <v>0</v>
          </cell>
          <cell r="H1315">
            <v>594282</v>
          </cell>
          <cell r="J1315">
            <v>0</v>
          </cell>
        </row>
        <row r="1338">
          <cell r="F1338">
            <v>591533</v>
          </cell>
          <cell r="H1338">
            <v>1442607</v>
          </cell>
          <cell r="J1338">
            <v>28832</v>
          </cell>
        </row>
        <row r="1361">
          <cell r="F1361">
            <v>454594</v>
          </cell>
          <cell r="H1361">
            <v>1562946</v>
          </cell>
          <cell r="J1361">
            <v>673834</v>
          </cell>
        </row>
        <row r="1384">
          <cell r="F1384">
            <v>695150</v>
          </cell>
          <cell r="H1384">
            <v>1025581</v>
          </cell>
          <cell r="J1384">
            <v>236873</v>
          </cell>
        </row>
        <row r="1407">
          <cell r="F1407">
            <v>1149288</v>
          </cell>
          <cell r="H1407">
            <v>1906661</v>
          </cell>
          <cell r="J1407">
            <v>415955</v>
          </cell>
        </row>
        <row r="1430">
          <cell r="F1430">
            <v>71421</v>
          </cell>
          <cell r="H1430">
            <v>64638</v>
          </cell>
          <cell r="J1430">
            <v>6111</v>
          </cell>
        </row>
        <row r="1453">
          <cell r="F1453">
            <v>3060</v>
          </cell>
          <cell r="H1453">
            <v>61120</v>
          </cell>
          <cell r="J1453">
            <v>0</v>
          </cell>
        </row>
        <row r="1476">
          <cell r="F1476">
            <v>690</v>
          </cell>
          <cell r="H1476">
            <v>13755</v>
          </cell>
          <cell r="J1476">
            <v>0</v>
          </cell>
        </row>
        <row r="1499">
          <cell r="F1499">
            <v>255610</v>
          </cell>
          <cell r="H1499">
            <v>273434</v>
          </cell>
          <cell r="J1499">
            <v>0</v>
          </cell>
        </row>
        <row r="1545">
          <cell r="F1545">
            <v>42440376</v>
          </cell>
          <cell r="H1545">
            <v>0</v>
          </cell>
          <cell r="J1545">
            <v>0</v>
          </cell>
        </row>
        <row r="1568">
          <cell r="F1568">
            <v>0</v>
          </cell>
          <cell r="H1568">
            <v>0</v>
          </cell>
          <cell r="J1568">
            <v>3274119</v>
          </cell>
        </row>
        <row r="1569">
          <cell r="A1569" t="str">
            <v>0101  ○ 건설폐기물처리비</v>
          </cell>
        </row>
        <row r="1591">
          <cell r="F1591">
            <v>0</v>
          </cell>
          <cell r="H1591">
            <v>0</v>
          </cell>
          <cell r="J1591">
            <v>4285400</v>
          </cell>
          <cell r="L1591">
            <v>4285400</v>
          </cell>
        </row>
        <row r="1592">
          <cell r="A1592" t="str">
            <v>0102  ○ 건설폐기물처리비</v>
          </cell>
        </row>
        <row r="1614">
          <cell r="J1614">
            <v>12435000</v>
          </cell>
          <cell r="L1614">
            <v>12435000</v>
          </cell>
        </row>
        <row r="1615">
          <cell r="A1615" t="str">
            <v>0103  ○ 건설폐기물처리비</v>
          </cell>
        </row>
        <row r="1637">
          <cell r="F1637">
            <v>9650</v>
          </cell>
          <cell r="H1637">
            <v>7720</v>
          </cell>
          <cell r="J1637">
            <v>13857435</v>
          </cell>
          <cell r="L1637">
            <v>13874805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서"/>
      <sheetName val="공사원가계산서"/>
      <sheetName val="집계표"/>
      <sheetName val="일위대가"/>
      <sheetName val="시설물기초일위대가"/>
      <sheetName val="간지"/>
      <sheetName val="중기단가산출서"/>
      <sheetName val="단가비교표"/>
      <sheetName val="Sheet1"/>
      <sheetName val="Module4"/>
      <sheetName val="Module1"/>
      <sheetName val="전기일위대가"/>
      <sheetName val="금액내역서"/>
      <sheetName val="기성 총괄내역"/>
      <sheetName val="기성부분내역서"/>
      <sheetName val="총괄내역서"/>
      <sheetName val="내역서"/>
      <sheetName val="공정별 시공 및 집행내역"/>
      <sheetName val="조경"/>
      <sheetName val="깨기"/>
      <sheetName val="조명시설"/>
      <sheetName val="지급자재"/>
      <sheetName val="내력서"/>
      <sheetName val="danga"/>
      <sheetName val="ilch"/>
      <sheetName val="CODE"/>
      <sheetName val="대비"/>
      <sheetName val="갑지(추정)"/>
      <sheetName val="특색있는 녹화거리 조성공사(2월 10일)"/>
      <sheetName val="기계시공"/>
      <sheetName val="BOQ건축"/>
      <sheetName val="말뚝지지력산정"/>
      <sheetName val="Y-WORK"/>
      <sheetName val="밸브설치"/>
      <sheetName val="입찰안"/>
      <sheetName val="hvac(제어동)"/>
      <sheetName val="FORM-0"/>
      <sheetName val="2002상반기노임기준"/>
      <sheetName val="공통가설"/>
      <sheetName val="I.설계조건"/>
      <sheetName val="실행내역 "/>
      <sheetName val="현장지지물물량"/>
      <sheetName val="품셈"/>
      <sheetName val="기초일위"/>
      <sheetName val="시설일위"/>
      <sheetName val="조명일위"/>
      <sheetName val="자재단가조사표-수목"/>
      <sheetName val="Sheet2"/>
      <sheetName val="ETC"/>
      <sheetName val="설직재-1"/>
      <sheetName val="데이타"/>
      <sheetName val="식재인부"/>
      <sheetName val="woo(mac)"/>
      <sheetName val="세부내역"/>
      <sheetName val="내역"/>
      <sheetName val="단면가정"/>
      <sheetName val="1.설계기준"/>
      <sheetName val="#REF"/>
      <sheetName val="plan&amp;section of foundation"/>
      <sheetName val="Sheet5"/>
      <sheetName val="노임단가"/>
      <sheetName val="담장산출"/>
      <sheetName val="골조시행"/>
      <sheetName val="기둥(원형)"/>
      <sheetName val="토공사"/>
      <sheetName val="단면 (2)"/>
      <sheetName val="기본일위"/>
      <sheetName val=" ｹ-ﾌﾞﾙ"/>
      <sheetName val="FB25JN"/>
      <sheetName val="Sheet3"/>
      <sheetName val="빙장비사양"/>
      <sheetName val="장비사양"/>
      <sheetName val="토공"/>
      <sheetName val="내역(전체)"/>
      <sheetName val="빌딩 안내"/>
      <sheetName val="AV시스템"/>
      <sheetName val="간접"/>
      <sheetName val="98지급계획"/>
      <sheetName val="1.우편집중내역서"/>
      <sheetName val="품셈TABLE"/>
      <sheetName val="식재"/>
      <sheetName val="시설물"/>
      <sheetName val="식재출력용"/>
      <sheetName val="유지관리"/>
      <sheetName val="단가"/>
      <sheetName val="장비"/>
      <sheetName val="노무"/>
      <sheetName val="표지 (2)"/>
      <sheetName val="Macro(전선)"/>
      <sheetName val="지수"/>
      <sheetName val="UNSTEADY"/>
      <sheetName val="기본단가표"/>
      <sheetName val="제수"/>
      <sheetName val="공기"/>
      <sheetName val="퇴비산출근거"/>
      <sheetName val="정부노임단가"/>
      <sheetName val="식재(1)"/>
      <sheetName val="식재부대(2)"/>
      <sheetName val="식재유지(3)"/>
      <sheetName val="조경시설(4)"/>
      <sheetName val="놀이시설(5)"/>
      <sheetName val="총괄표"/>
      <sheetName val="심사승인"/>
      <sheetName val="ABUT수량-A1"/>
      <sheetName val="신우"/>
      <sheetName val="자재"/>
      <sheetName val="TYPE-A"/>
      <sheetName val="기초자료"/>
      <sheetName val="진주방향"/>
      <sheetName val="갑지"/>
      <sheetName val="104동"/>
      <sheetName val="단위단가"/>
      <sheetName val="1-1"/>
      <sheetName val="송라터널총괄"/>
      <sheetName val="금융비용"/>
      <sheetName val="APT내역"/>
      <sheetName val="DATA"/>
      <sheetName val="간접비내역-1"/>
      <sheetName val="COA-17"/>
      <sheetName val="C-18"/>
      <sheetName val="을"/>
      <sheetName val="단"/>
      <sheetName val="기성_총괄내역"/>
      <sheetName val="공정별_시공_및_집행내역"/>
      <sheetName val="단면_(2)"/>
      <sheetName val="I_설계조건"/>
      <sheetName val="견적서"/>
      <sheetName val="DATA1"/>
      <sheetName val="교각1"/>
      <sheetName val="ITEM"/>
      <sheetName val="4안전율"/>
      <sheetName val="1.설계조건"/>
      <sheetName val="직공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계산서"/>
      <sheetName val="공종별집계표"/>
      <sheetName val="집계표(건축)"/>
      <sheetName val="내역서-건축"/>
      <sheetName val="집계표(토목)"/>
      <sheetName val="내역서-토목"/>
      <sheetName val="일위대가목록"/>
      <sheetName val="일위대가"/>
      <sheetName val="내역서-토목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laroux"/>
      <sheetName val="중기사용료"/>
      <sheetName val="기계단가"/>
      <sheetName val="단가비교표"/>
      <sheetName val="횡배수관"/>
      <sheetName val="코드표"/>
      <sheetName val="#REF"/>
      <sheetName val="상부수량집계표"/>
      <sheetName val="수목표준대가"/>
      <sheetName val="EQ-R1"/>
      <sheetName val="공조기"/>
      <sheetName val="공조기휀"/>
      <sheetName val="AHU집계"/>
      <sheetName val="철콘공사"/>
    </sheetNames>
    <sheetDataSet>
      <sheetData sheetId="0" refreshError="1">
        <row r="1">
          <cell r="B1" t="str">
            <v>갱부</v>
          </cell>
          <cell r="C1">
            <v>56352</v>
          </cell>
        </row>
        <row r="2">
          <cell r="B2" t="str">
            <v>도목수</v>
          </cell>
          <cell r="C2">
            <v>81068</v>
          </cell>
        </row>
        <row r="3">
          <cell r="B3" t="str">
            <v>건축목공</v>
          </cell>
          <cell r="C3">
            <v>71803</v>
          </cell>
        </row>
        <row r="4">
          <cell r="B4" t="str">
            <v>형틀목공</v>
          </cell>
          <cell r="C4">
            <v>75306</v>
          </cell>
        </row>
        <row r="5">
          <cell r="B5" t="str">
            <v>창호목공</v>
          </cell>
          <cell r="C5">
            <v>66162</v>
          </cell>
        </row>
        <row r="6">
          <cell r="B6" t="str">
            <v>철골공</v>
          </cell>
          <cell r="C6">
            <v>73514</v>
          </cell>
        </row>
        <row r="7">
          <cell r="B7" t="str">
            <v>철공</v>
          </cell>
          <cell r="C7">
            <v>72430</v>
          </cell>
        </row>
        <row r="8">
          <cell r="B8" t="str">
            <v>철근공</v>
          </cell>
          <cell r="C8">
            <v>77839</v>
          </cell>
        </row>
        <row r="9">
          <cell r="B9" t="str">
            <v>철판공</v>
          </cell>
          <cell r="C9">
            <v>73217</v>
          </cell>
        </row>
        <row r="10">
          <cell r="B10" t="str">
            <v>셧터공</v>
          </cell>
          <cell r="C10">
            <v>64659</v>
          </cell>
        </row>
        <row r="11">
          <cell r="B11" t="str">
            <v>샷쉬공</v>
          </cell>
          <cell r="C11">
            <v>65647</v>
          </cell>
        </row>
        <row r="12">
          <cell r="B12" t="str">
            <v>절단공</v>
          </cell>
          <cell r="C12">
            <v>65881</v>
          </cell>
        </row>
        <row r="13">
          <cell r="B13" t="str">
            <v>석공</v>
          </cell>
          <cell r="C13">
            <v>77005</v>
          </cell>
        </row>
        <row r="14">
          <cell r="B14" t="str">
            <v>특수비계공</v>
          </cell>
          <cell r="C14">
            <v>85884</v>
          </cell>
        </row>
        <row r="15">
          <cell r="B15" t="str">
            <v>비계공</v>
          </cell>
          <cell r="C15">
            <v>79467</v>
          </cell>
        </row>
        <row r="16">
          <cell r="B16" t="str">
            <v>동발공</v>
          </cell>
          <cell r="C16">
            <v>65485</v>
          </cell>
        </row>
        <row r="17">
          <cell r="B17" t="str">
            <v>조적공</v>
          </cell>
          <cell r="C17">
            <v>67986</v>
          </cell>
        </row>
        <row r="18">
          <cell r="B18" t="str">
            <v>치장벽돌공</v>
          </cell>
          <cell r="C18">
            <v>73288</v>
          </cell>
        </row>
        <row r="19">
          <cell r="B19" t="str">
            <v>벽돌제작공</v>
          </cell>
          <cell r="C19">
            <v>61291</v>
          </cell>
        </row>
        <row r="20">
          <cell r="B20" t="str">
            <v>연돌공</v>
          </cell>
          <cell r="C20">
            <v>72745</v>
          </cell>
        </row>
        <row r="21">
          <cell r="B21" t="str">
            <v>미장공</v>
          </cell>
          <cell r="C21">
            <v>71283</v>
          </cell>
        </row>
        <row r="22">
          <cell r="B22" t="str">
            <v>방수공</v>
          </cell>
          <cell r="C22">
            <v>57701</v>
          </cell>
        </row>
        <row r="23">
          <cell r="B23" t="str">
            <v>타일공</v>
          </cell>
          <cell r="C23">
            <v>68147</v>
          </cell>
        </row>
        <row r="24">
          <cell r="B24" t="str">
            <v>줄눈공</v>
          </cell>
          <cell r="C24">
            <v>63589</v>
          </cell>
        </row>
        <row r="25">
          <cell r="B25" t="str">
            <v>연마공</v>
          </cell>
          <cell r="C25">
            <v>67289</v>
          </cell>
        </row>
        <row r="26">
          <cell r="B26" t="str">
            <v>콘크리트공</v>
          </cell>
          <cell r="C26">
            <v>71184</v>
          </cell>
        </row>
        <row r="27">
          <cell r="B27" t="str">
            <v>바이브테타공</v>
          </cell>
          <cell r="C27">
            <v>69081</v>
          </cell>
        </row>
        <row r="28">
          <cell r="B28" t="str">
            <v>보일러공</v>
          </cell>
          <cell r="C28">
            <v>56787</v>
          </cell>
        </row>
        <row r="29">
          <cell r="B29" t="str">
            <v>배관공</v>
          </cell>
          <cell r="C29">
            <v>58907</v>
          </cell>
        </row>
        <row r="30">
          <cell r="B30" t="str">
            <v>온돌공</v>
          </cell>
          <cell r="C30">
            <v>54720</v>
          </cell>
        </row>
        <row r="31">
          <cell r="B31" t="str">
            <v>위생공</v>
          </cell>
          <cell r="C31">
            <v>59212</v>
          </cell>
        </row>
        <row r="32">
          <cell r="B32" t="str">
            <v>보온공</v>
          </cell>
          <cell r="C32">
            <v>63143</v>
          </cell>
        </row>
        <row r="33">
          <cell r="B33" t="str">
            <v>도장공</v>
          </cell>
          <cell r="C33">
            <v>63038</v>
          </cell>
        </row>
        <row r="34">
          <cell r="B34" t="str">
            <v>내장공</v>
          </cell>
          <cell r="C34">
            <v>72244</v>
          </cell>
        </row>
        <row r="35">
          <cell r="B35" t="str">
            <v>도배공</v>
          </cell>
          <cell r="C35">
            <v>58443</v>
          </cell>
        </row>
        <row r="36">
          <cell r="B36" t="str">
            <v>아스타일공</v>
          </cell>
          <cell r="C36">
            <v>71686</v>
          </cell>
        </row>
        <row r="37">
          <cell r="B37" t="str">
            <v>기와공</v>
          </cell>
          <cell r="C37">
            <v>69476</v>
          </cell>
        </row>
        <row r="38">
          <cell r="B38" t="str">
            <v>슬레이트공</v>
          </cell>
          <cell r="C38">
            <v>72727</v>
          </cell>
        </row>
        <row r="39">
          <cell r="B39" t="str">
            <v>화약취급공</v>
          </cell>
          <cell r="C39">
            <v>69595</v>
          </cell>
        </row>
        <row r="40">
          <cell r="B40" t="str">
            <v>착암공</v>
          </cell>
          <cell r="C40">
            <v>57292</v>
          </cell>
        </row>
        <row r="41">
          <cell r="B41" t="str">
            <v>보안공</v>
          </cell>
          <cell r="C41">
            <v>41290</v>
          </cell>
        </row>
        <row r="42">
          <cell r="B42" t="str">
            <v>포장공</v>
          </cell>
          <cell r="C42">
            <v>65494</v>
          </cell>
        </row>
        <row r="43">
          <cell r="B43" t="str">
            <v>포설공</v>
          </cell>
          <cell r="C43">
            <v>65082</v>
          </cell>
        </row>
        <row r="44">
          <cell r="B44" t="str">
            <v>궤도공</v>
          </cell>
          <cell r="C44">
            <v>60000</v>
          </cell>
        </row>
        <row r="45">
          <cell r="B45" t="str">
            <v>철도용접공</v>
          </cell>
          <cell r="C45">
            <v>67201</v>
          </cell>
        </row>
        <row r="46">
          <cell r="B46" t="str">
            <v>잠수부</v>
          </cell>
          <cell r="C46">
            <v>81832</v>
          </cell>
        </row>
        <row r="47">
          <cell r="B47" t="str">
            <v>잠함공</v>
          </cell>
        </row>
        <row r="48">
          <cell r="B48" t="str">
            <v>보링공</v>
          </cell>
          <cell r="C48">
            <v>58626</v>
          </cell>
        </row>
        <row r="49">
          <cell r="B49" t="str">
            <v>우물공</v>
          </cell>
          <cell r="C49">
            <v>50558</v>
          </cell>
        </row>
        <row r="50">
          <cell r="B50" t="str">
            <v>영림기사</v>
          </cell>
          <cell r="C50">
            <v>72675</v>
          </cell>
        </row>
        <row r="51">
          <cell r="B51" t="str">
            <v>조경공</v>
          </cell>
          <cell r="C51">
            <v>60207</v>
          </cell>
        </row>
        <row r="52">
          <cell r="B52" t="str">
            <v>벌목공</v>
          </cell>
          <cell r="C52">
            <v>66433</v>
          </cell>
        </row>
        <row r="53">
          <cell r="B53" t="str">
            <v>조림인부</v>
          </cell>
          <cell r="C53">
            <v>53688</v>
          </cell>
        </row>
        <row r="54">
          <cell r="B54" t="str">
            <v>기계설치공</v>
          </cell>
          <cell r="C54">
            <v>80805</v>
          </cell>
        </row>
        <row r="55">
          <cell r="B55" t="str">
            <v>특수용접공</v>
          </cell>
          <cell r="C55">
            <v>141421</v>
          </cell>
        </row>
        <row r="56">
          <cell r="B56" t="str">
            <v>플랜용접공</v>
          </cell>
          <cell r="C56">
            <v>95379</v>
          </cell>
        </row>
        <row r="57">
          <cell r="B57" t="str">
            <v>플랜배관공</v>
          </cell>
          <cell r="C57">
            <v>97219</v>
          </cell>
        </row>
        <row r="58">
          <cell r="B58" t="str">
            <v>플랜제관공</v>
          </cell>
          <cell r="C58">
            <v>81966</v>
          </cell>
        </row>
        <row r="59">
          <cell r="B59" t="str">
            <v>시공측량사</v>
          </cell>
          <cell r="C59">
            <v>58506</v>
          </cell>
        </row>
        <row r="60">
          <cell r="B60" t="str">
            <v>측량사조수</v>
          </cell>
          <cell r="C60">
            <v>38777</v>
          </cell>
        </row>
        <row r="61">
          <cell r="B61" t="str">
            <v>측부</v>
          </cell>
          <cell r="C61">
            <v>32725</v>
          </cell>
        </row>
        <row r="62">
          <cell r="B62" t="str">
            <v>검조부</v>
          </cell>
          <cell r="C62">
            <v>32800</v>
          </cell>
        </row>
        <row r="63">
          <cell r="B63" t="str">
            <v>송전전공</v>
          </cell>
          <cell r="C63">
            <v>234733</v>
          </cell>
        </row>
        <row r="64">
          <cell r="B64" t="str">
            <v>활선전공</v>
          </cell>
        </row>
        <row r="65">
          <cell r="B65" t="str">
            <v>배전전공</v>
          </cell>
          <cell r="C65">
            <v>192603</v>
          </cell>
        </row>
        <row r="66">
          <cell r="B66" t="str">
            <v>배전활선전공</v>
          </cell>
          <cell r="C66">
            <v>215055</v>
          </cell>
        </row>
        <row r="67">
          <cell r="B67" t="str">
            <v>플랜트전공</v>
          </cell>
          <cell r="C67">
            <v>64285</v>
          </cell>
        </row>
        <row r="68">
          <cell r="B68" t="str">
            <v>내선전공</v>
          </cell>
          <cell r="C68">
            <v>57286</v>
          </cell>
        </row>
        <row r="69">
          <cell r="B69" t="str">
            <v>특고압케이블전공</v>
          </cell>
          <cell r="C69">
            <v>98463</v>
          </cell>
        </row>
        <row r="70">
          <cell r="B70" t="str">
            <v>고압케이블전공</v>
          </cell>
          <cell r="C70">
            <v>74584</v>
          </cell>
        </row>
        <row r="71">
          <cell r="B71" t="str">
            <v>저압케이블전공</v>
          </cell>
          <cell r="C71">
            <v>61877</v>
          </cell>
        </row>
        <row r="72">
          <cell r="B72" t="str">
            <v>철도신호공</v>
          </cell>
          <cell r="C72">
            <v>88167</v>
          </cell>
        </row>
        <row r="73">
          <cell r="B73" t="str">
            <v>계장공</v>
          </cell>
          <cell r="C73">
            <v>60822</v>
          </cell>
        </row>
        <row r="74">
          <cell r="B74" t="str">
            <v>통신외선공</v>
          </cell>
          <cell r="C74">
            <v>89013</v>
          </cell>
        </row>
        <row r="75">
          <cell r="B75" t="str">
            <v>통신설비공</v>
          </cell>
          <cell r="C75">
            <v>76852</v>
          </cell>
        </row>
        <row r="76">
          <cell r="B76" t="str">
            <v>통신내선공</v>
          </cell>
          <cell r="C76">
            <v>72591</v>
          </cell>
        </row>
        <row r="77">
          <cell r="B77" t="str">
            <v>통신케이블공</v>
          </cell>
          <cell r="C77">
            <v>90455</v>
          </cell>
        </row>
        <row r="78">
          <cell r="B78" t="str">
            <v>무선안테나공</v>
          </cell>
          <cell r="C78">
            <v>110956</v>
          </cell>
        </row>
        <row r="79">
          <cell r="B79" t="str">
            <v>수작업반장</v>
          </cell>
          <cell r="C79">
            <v>74369</v>
          </cell>
        </row>
        <row r="80">
          <cell r="B80" t="str">
            <v>작업반장</v>
          </cell>
          <cell r="C80">
            <v>60326</v>
          </cell>
        </row>
        <row r="81">
          <cell r="B81" t="str">
            <v>목도</v>
          </cell>
          <cell r="C81">
            <v>64758</v>
          </cell>
        </row>
        <row r="82">
          <cell r="B82" t="str">
            <v>조력공</v>
          </cell>
          <cell r="C82">
            <v>48912</v>
          </cell>
        </row>
        <row r="83">
          <cell r="B83" t="str">
            <v>특별인부</v>
          </cell>
          <cell r="C83">
            <v>57379</v>
          </cell>
        </row>
        <row r="84">
          <cell r="B84" t="str">
            <v>보통인부</v>
          </cell>
          <cell r="C84">
            <v>37736</v>
          </cell>
        </row>
        <row r="85">
          <cell r="B85" t="str">
            <v>중기운전기사</v>
          </cell>
          <cell r="C85">
            <v>56951</v>
          </cell>
        </row>
        <row r="86">
          <cell r="B86" t="str">
            <v>중기조장</v>
          </cell>
          <cell r="C86">
            <v>55484</v>
          </cell>
        </row>
        <row r="87">
          <cell r="B87" t="str">
            <v>운반차운전사</v>
          </cell>
          <cell r="C87">
            <v>51077</v>
          </cell>
        </row>
        <row r="88">
          <cell r="B88" t="str">
            <v>기계운전사</v>
          </cell>
          <cell r="C88">
            <v>54325</v>
          </cell>
        </row>
        <row r="89">
          <cell r="B89" t="str">
            <v>중기운전조수</v>
          </cell>
          <cell r="C89">
            <v>42762</v>
          </cell>
        </row>
        <row r="90">
          <cell r="B90" t="str">
            <v>고급선원</v>
          </cell>
          <cell r="C90">
            <v>63950</v>
          </cell>
        </row>
        <row r="91">
          <cell r="B91" t="str">
            <v>보통선원</v>
          </cell>
          <cell r="C91">
            <v>49346</v>
          </cell>
        </row>
        <row r="92">
          <cell r="B92" t="str">
            <v>선부</v>
          </cell>
          <cell r="C92">
            <v>40088</v>
          </cell>
        </row>
        <row r="93">
          <cell r="B93" t="str">
            <v>준설선선장</v>
          </cell>
          <cell r="C93">
            <v>79532</v>
          </cell>
        </row>
        <row r="94">
          <cell r="B94" t="str">
            <v>준설기관장</v>
          </cell>
          <cell r="C94">
            <v>70637</v>
          </cell>
        </row>
        <row r="95">
          <cell r="B95" t="str">
            <v>준설기관사</v>
          </cell>
          <cell r="C95">
            <v>56955</v>
          </cell>
        </row>
        <row r="96">
          <cell r="B96" t="str">
            <v>준설운전사</v>
          </cell>
          <cell r="C96">
            <v>66688</v>
          </cell>
        </row>
        <row r="97">
          <cell r="B97" t="str">
            <v>준설전기사</v>
          </cell>
          <cell r="C97">
            <v>63631</v>
          </cell>
        </row>
        <row r="98">
          <cell r="B98" t="str">
            <v>기계설치공</v>
          </cell>
          <cell r="C98">
            <v>67415</v>
          </cell>
        </row>
        <row r="99">
          <cell r="B99" t="str">
            <v>기계공</v>
          </cell>
          <cell r="C99">
            <v>58906</v>
          </cell>
        </row>
        <row r="100">
          <cell r="B100" t="str">
            <v>선반공</v>
          </cell>
          <cell r="C100">
            <v>78752</v>
          </cell>
        </row>
        <row r="101">
          <cell r="B101" t="str">
            <v>정비공</v>
          </cell>
          <cell r="C101">
            <v>52502</v>
          </cell>
        </row>
        <row r="102">
          <cell r="B102" t="str">
            <v>벨트콘베어작업공</v>
          </cell>
        </row>
        <row r="103">
          <cell r="B103" t="str">
            <v>현도사</v>
          </cell>
        </row>
        <row r="104">
          <cell r="B104" t="str">
            <v>제도사</v>
          </cell>
          <cell r="C104">
            <v>46978</v>
          </cell>
        </row>
        <row r="105">
          <cell r="B105" t="str">
            <v>시험사1급</v>
          </cell>
          <cell r="C105">
            <v>47867</v>
          </cell>
        </row>
        <row r="106">
          <cell r="B106" t="str">
            <v>시험사2급</v>
          </cell>
          <cell r="C106">
            <v>42272</v>
          </cell>
        </row>
        <row r="107">
          <cell r="B107" t="str">
            <v>시험사3급</v>
          </cell>
          <cell r="C107">
            <v>36667</v>
          </cell>
        </row>
        <row r="108">
          <cell r="B108" t="str">
            <v>시험사4급</v>
          </cell>
          <cell r="C108">
            <v>30223</v>
          </cell>
        </row>
        <row r="109">
          <cell r="B109" t="str">
            <v>시험보조사</v>
          </cell>
          <cell r="C109">
            <v>31003</v>
          </cell>
        </row>
        <row r="110">
          <cell r="B110" t="str">
            <v>유리공</v>
          </cell>
          <cell r="C110">
            <v>63783</v>
          </cell>
        </row>
        <row r="111">
          <cell r="B111" t="str">
            <v>함석공</v>
          </cell>
          <cell r="C111">
            <v>68943</v>
          </cell>
        </row>
        <row r="112">
          <cell r="B112" t="str">
            <v>일반용접공</v>
          </cell>
          <cell r="C112">
            <v>74016</v>
          </cell>
        </row>
        <row r="113">
          <cell r="B113" t="str">
            <v>리벳공</v>
          </cell>
          <cell r="C113">
            <v>71579</v>
          </cell>
        </row>
        <row r="114">
          <cell r="B114" t="str">
            <v>루우핑공</v>
          </cell>
        </row>
        <row r="115">
          <cell r="B115" t="str">
            <v>닥트공</v>
          </cell>
          <cell r="C115">
            <v>58041</v>
          </cell>
        </row>
        <row r="116">
          <cell r="B116" t="str">
            <v>대장공</v>
          </cell>
        </row>
        <row r="117">
          <cell r="B117" t="str">
            <v>할석공</v>
          </cell>
          <cell r="C117">
            <v>77728</v>
          </cell>
        </row>
        <row r="118">
          <cell r="B118" t="str">
            <v>제철축로공</v>
          </cell>
          <cell r="C118">
            <v>93345</v>
          </cell>
        </row>
        <row r="119">
          <cell r="B119" t="str">
            <v>양생공</v>
          </cell>
          <cell r="C119">
            <v>42244</v>
          </cell>
        </row>
        <row r="120">
          <cell r="B120" t="str">
            <v>계령공</v>
          </cell>
        </row>
        <row r="121">
          <cell r="B121" t="str">
            <v>모래분사공</v>
          </cell>
          <cell r="C121">
            <v>49962</v>
          </cell>
        </row>
        <row r="122">
          <cell r="B122" t="str">
            <v>사공(배포함)</v>
          </cell>
        </row>
        <row r="123">
          <cell r="B123" t="str">
            <v>마부(우마차포함)</v>
          </cell>
        </row>
        <row r="124">
          <cell r="B124" t="str">
            <v>제재공</v>
          </cell>
        </row>
        <row r="125">
          <cell r="B125" t="str">
            <v>철도궤도공</v>
          </cell>
          <cell r="C125">
            <v>65636</v>
          </cell>
        </row>
        <row r="126">
          <cell r="B126" t="str">
            <v>지적기사1급</v>
          </cell>
          <cell r="C126">
            <v>93540</v>
          </cell>
        </row>
        <row r="127">
          <cell r="B127" t="str">
            <v>지적기사2급</v>
          </cell>
          <cell r="C127">
            <v>72183</v>
          </cell>
        </row>
        <row r="128">
          <cell r="B128" t="str">
            <v>지적기능사1급</v>
          </cell>
          <cell r="C128">
            <v>53062</v>
          </cell>
        </row>
        <row r="129">
          <cell r="B129" t="str">
            <v>지적기능사2급</v>
          </cell>
          <cell r="C129">
            <v>32715</v>
          </cell>
        </row>
        <row r="130">
          <cell r="B130" t="str">
            <v>H/W설치기사</v>
          </cell>
          <cell r="C130">
            <v>82913</v>
          </cell>
        </row>
        <row r="131">
          <cell r="B131" t="str">
            <v>H/W시험기사</v>
          </cell>
          <cell r="C131">
            <v>84088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무비"/>
      <sheetName val="소방전기"/>
      <sheetName val="보온재"/>
      <sheetName val="행거"/>
      <sheetName val="후렌지접합,용접"/>
      <sheetName val="집계"/>
      <sheetName val="내역서-토목"/>
      <sheetName val="빗물받이(910-510-410)"/>
      <sheetName val="식재수량표"/>
    </sheetNames>
    <sheetDataSet>
      <sheetData sheetId="0">
        <row r="2">
          <cell r="B2">
            <v>74199</v>
          </cell>
        </row>
        <row r="5">
          <cell r="B5">
            <v>52483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9B78-BE2B-4C59-8E0D-1B5524A817F2}">
  <sheetPr>
    <pageSetUpPr fitToPage="1"/>
  </sheetPr>
  <dimension ref="A1:AA96"/>
  <sheetViews>
    <sheetView tabSelected="1" view="pageBreakPreview" topLeftCell="A58" zoomScaleNormal="100" zoomScaleSheetLayoutView="100" workbookViewId="0">
      <selection activeCell="B31" sqref="B31"/>
    </sheetView>
  </sheetViews>
  <sheetFormatPr defaultRowHeight="16.5" x14ac:dyDescent="0.3"/>
  <cols>
    <col min="1" max="1" width="40.625" customWidth="1"/>
    <col min="2" max="2" width="20.625" customWidth="1"/>
    <col min="3" max="4" width="4.625" customWidth="1"/>
    <col min="5" max="12" width="13.625" customWidth="1"/>
    <col min="13" max="13" width="12.62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0" ht="30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spans="1:20" ht="30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/>
      <c r="G3" s="6" t="s">
        <v>7</v>
      </c>
      <c r="H3" s="6"/>
      <c r="I3" s="6" t="s">
        <v>8</v>
      </c>
      <c r="J3" s="6"/>
      <c r="K3" s="6" t="s">
        <v>9</v>
      </c>
      <c r="L3" s="6"/>
      <c r="M3" s="6" t="s">
        <v>10</v>
      </c>
      <c r="N3" s="7" t="s">
        <v>11</v>
      </c>
      <c r="O3" s="7" t="s">
        <v>12</v>
      </c>
      <c r="P3" s="7" t="s">
        <v>13</v>
      </c>
      <c r="Q3" s="7" t="s">
        <v>14</v>
      </c>
      <c r="R3" s="7" t="s">
        <v>15</v>
      </c>
      <c r="S3" s="7" t="s">
        <v>16</v>
      </c>
      <c r="T3" s="7" t="s">
        <v>17</v>
      </c>
    </row>
    <row r="4" spans="1:20" ht="30" customHeight="1" x14ac:dyDescent="0.3">
      <c r="A4" s="8"/>
      <c r="B4" s="8"/>
      <c r="C4" s="8"/>
      <c r="D4" s="8"/>
      <c r="E4" s="9" t="s">
        <v>18</v>
      </c>
      <c r="F4" s="9" t="s">
        <v>19</v>
      </c>
      <c r="G4" s="9" t="s">
        <v>18</v>
      </c>
      <c r="H4" s="9" t="s">
        <v>19</v>
      </c>
      <c r="I4" s="9" t="s">
        <v>18</v>
      </c>
      <c r="J4" s="9" t="s">
        <v>19</v>
      </c>
      <c r="K4" s="9" t="s">
        <v>18</v>
      </c>
      <c r="L4" s="9" t="s">
        <v>19</v>
      </c>
      <c r="M4" s="8"/>
      <c r="N4" s="7"/>
      <c r="O4" s="7"/>
      <c r="P4" s="7"/>
      <c r="Q4" s="7"/>
      <c r="R4" s="7"/>
      <c r="S4" s="7"/>
      <c r="T4" s="7"/>
    </row>
    <row r="5" spans="1:20" ht="30" customHeight="1" x14ac:dyDescent="0.3">
      <c r="A5" s="10" t="s">
        <v>20</v>
      </c>
      <c r="B5" s="10" t="s">
        <v>21</v>
      </c>
      <c r="C5" s="10" t="s">
        <v>21</v>
      </c>
      <c r="D5" s="11">
        <v>1</v>
      </c>
      <c r="E5" s="12">
        <f>F6+F35+F41</f>
        <v>871751659</v>
      </c>
      <c r="F5" s="12">
        <f t="shared" ref="F5:F68" si="0">E5*D5</f>
        <v>871751659</v>
      </c>
      <c r="G5" s="12">
        <f>H6+H35+H41</f>
        <v>364781324</v>
      </c>
      <c r="H5" s="12">
        <f t="shared" ref="H5:H68" si="1">G5*D5</f>
        <v>364781324</v>
      </c>
      <c r="I5" s="12">
        <f>J6+J35+J41</f>
        <v>41583379</v>
      </c>
      <c r="J5" s="12">
        <f t="shared" ref="J5:J68" si="2">I5*D5</f>
        <v>41583379</v>
      </c>
      <c r="K5" s="12">
        <f t="shared" ref="K5:L36" si="3">E5+G5+I5</f>
        <v>1278116362</v>
      </c>
      <c r="L5" s="12">
        <f t="shared" si="3"/>
        <v>1278116362</v>
      </c>
      <c r="M5" s="10" t="s">
        <v>21</v>
      </c>
      <c r="N5" s="13" t="s">
        <v>22</v>
      </c>
      <c r="O5" s="13" t="s">
        <v>21</v>
      </c>
      <c r="P5" s="13" t="s">
        <v>21</v>
      </c>
      <c r="Q5" s="13" t="s">
        <v>21</v>
      </c>
      <c r="R5" s="14">
        <v>1</v>
      </c>
      <c r="S5" s="13" t="s">
        <v>21</v>
      </c>
      <c r="T5" s="15"/>
    </row>
    <row r="6" spans="1:20" ht="30" customHeight="1" x14ac:dyDescent="0.3">
      <c r="A6" s="10" t="s">
        <v>23</v>
      </c>
      <c r="B6" s="10" t="s">
        <v>21</v>
      </c>
      <c r="C6" s="10" t="s">
        <v>21</v>
      </c>
      <c r="D6" s="11">
        <v>1</v>
      </c>
      <c r="E6" s="12">
        <f>F7+F8+F9+F10+F11+F12+F13+F14+F15+F16+F17+F18+F19+F20+F21+F22+F23+F24+F25+F26+F27+F28+F29+F30</f>
        <v>692729132</v>
      </c>
      <c r="F6" s="12">
        <f t="shared" si="0"/>
        <v>692729132</v>
      </c>
      <c r="G6" s="12">
        <f>H7+H8+H9+H10+H11+H12+H13+H14+H15+H16+H17+H18+H19+H20+H21+H22+H23+H24+H25+H26+H27+H28+H29+H30</f>
        <v>338029381</v>
      </c>
      <c r="H6" s="12">
        <f t="shared" si="1"/>
        <v>338029381</v>
      </c>
      <c r="I6" s="12">
        <f>J7+J8+J9+J10+J11+J12+J13+J14+J15+J16+J17+J18+J19+J20+J21+J22+J23+J24+J25+J26+J27+J28+J29+J30</f>
        <v>37131789</v>
      </c>
      <c r="J6" s="12">
        <f t="shared" si="2"/>
        <v>37131789</v>
      </c>
      <c r="K6" s="12">
        <f t="shared" si="3"/>
        <v>1067890302</v>
      </c>
      <c r="L6" s="12">
        <f t="shared" si="3"/>
        <v>1067890302</v>
      </c>
      <c r="M6" s="10" t="s">
        <v>21</v>
      </c>
      <c r="N6" s="13" t="s">
        <v>24</v>
      </c>
      <c r="O6" s="13" t="s">
        <v>21</v>
      </c>
      <c r="P6" s="13" t="s">
        <v>22</v>
      </c>
      <c r="Q6" s="13" t="s">
        <v>21</v>
      </c>
      <c r="R6" s="14">
        <v>2</v>
      </c>
      <c r="S6" s="13" t="s">
        <v>21</v>
      </c>
      <c r="T6" s="15"/>
    </row>
    <row r="7" spans="1:20" ht="30" customHeight="1" x14ac:dyDescent="0.3">
      <c r="A7" s="10" t="s">
        <v>25</v>
      </c>
      <c r="B7" s="10" t="s">
        <v>21</v>
      </c>
      <c r="C7" s="10" t="s">
        <v>21</v>
      </c>
      <c r="D7" s="11">
        <v>1</v>
      </c>
      <c r="E7" s="12">
        <f>[1]공종별내역서!F27</f>
        <v>0</v>
      </c>
      <c r="F7" s="12">
        <f t="shared" si="0"/>
        <v>0</v>
      </c>
      <c r="G7" s="12">
        <f>[1]공종별내역서!H27</f>
        <v>0</v>
      </c>
      <c r="H7" s="12">
        <f t="shared" si="1"/>
        <v>0</v>
      </c>
      <c r="I7" s="12">
        <f>[1]공종별내역서!J27</f>
        <v>10169428</v>
      </c>
      <c r="J7" s="12">
        <f t="shared" si="2"/>
        <v>10169428</v>
      </c>
      <c r="K7" s="12">
        <f t="shared" si="3"/>
        <v>10169428</v>
      </c>
      <c r="L7" s="12">
        <f t="shared" si="3"/>
        <v>10169428</v>
      </c>
      <c r="M7" s="10" t="s">
        <v>21</v>
      </c>
      <c r="N7" s="13" t="s">
        <v>26</v>
      </c>
      <c r="O7" s="13" t="s">
        <v>21</v>
      </c>
      <c r="P7" s="13" t="s">
        <v>24</v>
      </c>
      <c r="Q7" s="13" t="s">
        <v>21</v>
      </c>
      <c r="R7" s="14">
        <v>3</v>
      </c>
      <c r="S7" s="13" t="s">
        <v>21</v>
      </c>
      <c r="T7" s="15"/>
    </row>
    <row r="8" spans="1:20" ht="30" customHeight="1" x14ac:dyDescent="0.3">
      <c r="A8" s="10" t="s">
        <v>27</v>
      </c>
      <c r="B8" s="10" t="s">
        <v>21</v>
      </c>
      <c r="C8" s="10" t="s">
        <v>21</v>
      </c>
      <c r="D8" s="11">
        <v>1</v>
      </c>
      <c r="E8" s="12">
        <f>[1]공종별내역서!F50</f>
        <v>19382175</v>
      </c>
      <c r="F8" s="12">
        <f t="shared" si="0"/>
        <v>19382175</v>
      </c>
      <c r="G8" s="12">
        <f>[1]공종별내역서!H50</f>
        <v>32954542</v>
      </c>
      <c r="H8" s="12">
        <f t="shared" si="1"/>
        <v>32954542</v>
      </c>
      <c r="I8" s="12">
        <f>[1]공종별내역서!J50</f>
        <v>308544</v>
      </c>
      <c r="J8" s="12">
        <f t="shared" si="2"/>
        <v>308544</v>
      </c>
      <c r="K8" s="12">
        <f t="shared" si="3"/>
        <v>52645261</v>
      </c>
      <c r="L8" s="12">
        <f t="shared" si="3"/>
        <v>52645261</v>
      </c>
      <c r="M8" s="10" t="s">
        <v>21</v>
      </c>
      <c r="N8" s="13" t="s">
        <v>28</v>
      </c>
      <c r="O8" s="13" t="s">
        <v>21</v>
      </c>
      <c r="P8" s="13" t="s">
        <v>24</v>
      </c>
      <c r="Q8" s="13" t="s">
        <v>21</v>
      </c>
      <c r="R8" s="14">
        <v>3</v>
      </c>
      <c r="S8" s="13" t="s">
        <v>21</v>
      </c>
      <c r="T8" s="15"/>
    </row>
    <row r="9" spans="1:20" ht="30" customHeight="1" x14ac:dyDescent="0.3">
      <c r="A9" s="10" t="s">
        <v>29</v>
      </c>
      <c r="B9" s="10" t="s">
        <v>21</v>
      </c>
      <c r="C9" s="10" t="s">
        <v>21</v>
      </c>
      <c r="D9" s="11">
        <v>1</v>
      </c>
      <c r="E9" s="12">
        <f>[1]공종별내역서!F73</f>
        <v>2043376</v>
      </c>
      <c r="F9" s="12">
        <f t="shared" si="0"/>
        <v>2043376</v>
      </c>
      <c r="G9" s="12">
        <f>[1]공종별내역서!H73</f>
        <v>1765806</v>
      </c>
      <c r="H9" s="12">
        <f t="shared" si="1"/>
        <v>1765806</v>
      </c>
      <c r="I9" s="12">
        <f>[1]공종별내역서!J73</f>
        <v>1622277</v>
      </c>
      <c r="J9" s="12">
        <f t="shared" si="2"/>
        <v>1622277</v>
      </c>
      <c r="K9" s="12">
        <f t="shared" si="3"/>
        <v>5431459</v>
      </c>
      <c r="L9" s="12">
        <f t="shared" si="3"/>
        <v>5431459</v>
      </c>
      <c r="M9" s="10" t="s">
        <v>21</v>
      </c>
      <c r="N9" s="13" t="s">
        <v>30</v>
      </c>
      <c r="O9" s="13" t="s">
        <v>21</v>
      </c>
      <c r="P9" s="13" t="s">
        <v>24</v>
      </c>
      <c r="Q9" s="13" t="s">
        <v>21</v>
      </c>
      <c r="R9" s="14">
        <v>3</v>
      </c>
      <c r="S9" s="13" t="s">
        <v>21</v>
      </c>
      <c r="T9" s="15"/>
    </row>
    <row r="10" spans="1:20" ht="30" customHeight="1" x14ac:dyDescent="0.3">
      <c r="A10" s="10" t="s">
        <v>31</v>
      </c>
      <c r="B10" s="10" t="s">
        <v>21</v>
      </c>
      <c r="C10" s="10" t="s">
        <v>21</v>
      </c>
      <c r="D10" s="11">
        <v>1</v>
      </c>
      <c r="E10" s="12">
        <f>[1]공종별내역서!F119</f>
        <v>262335976</v>
      </c>
      <c r="F10" s="12">
        <f t="shared" si="0"/>
        <v>262335976</v>
      </c>
      <c r="G10" s="12">
        <f>[1]공종별내역서!H119</f>
        <v>127543473</v>
      </c>
      <c r="H10" s="12">
        <f t="shared" si="1"/>
        <v>127543473</v>
      </c>
      <c r="I10" s="12">
        <f>[1]공종별내역서!J119</f>
        <v>8225750</v>
      </c>
      <c r="J10" s="12">
        <f t="shared" si="2"/>
        <v>8225750</v>
      </c>
      <c r="K10" s="12">
        <f t="shared" si="3"/>
        <v>398105199</v>
      </c>
      <c r="L10" s="12">
        <f t="shared" si="3"/>
        <v>398105199</v>
      </c>
      <c r="M10" s="10" t="s">
        <v>21</v>
      </c>
      <c r="N10" s="13" t="s">
        <v>32</v>
      </c>
      <c r="O10" s="13" t="s">
        <v>21</v>
      </c>
      <c r="P10" s="13" t="s">
        <v>24</v>
      </c>
      <c r="Q10" s="13" t="s">
        <v>21</v>
      </c>
      <c r="R10" s="14">
        <v>3</v>
      </c>
      <c r="S10" s="13" t="s">
        <v>21</v>
      </c>
      <c r="T10" s="15"/>
    </row>
    <row r="11" spans="1:20" ht="30" customHeight="1" x14ac:dyDescent="0.3">
      <c r="A11" s="10" t="s">
        <v>33</v>
      </c>
      <c r="B11" s="10" t="s">
        <v>21</v>
      </c>
      <c r="C11" s="10" t="s">
        <v>21</v>
      </c>
      <c r="D11" s="11">
        <v>1</v>
      </c>
      <c r="E11" s="12">
        <f>[1]공종별내역서!F142</f>
        <v>954396</v>
      </c>
      <c r="F11" s="12">
        <f t="shared" si="0"/>
        <v>954396</v>
      </c>
      <c r="G11" s="12">
        <f>[1]공종별내역서!H142</f>
        <v>2252996</v>
      </c>
      <c r="H11" s="12">
        <f t="shared" si="1"/>
        <v>2252996</v>
      </c>
      <c r="I11" s="12">
        <f>[1]공종별내역서!J142</f>
        <v>35479</v>
      </c>
      <c r="J11" s="12">
        <f t="shared" si="2"/>
        <v>35479</v>
      </c>
      <c r="K11" s="12">
        <f t="shared" si="3"/>
        <v>3242871</v>
      </c>
      <c r="L11" s="12">
        <f t="shared" si="3"/>
        <v>3242871</v>
      </c>
      <c r="M11" s="10" t="s">
        <v>21</v>
      </c>
      <c r="N11" s="13" t="s">
        <v>34</v>
      </c>
      <c r="O11" s="13" t="s">
        <v>21</v>
      </c>
      <c r="P11" s="13" t="s">
        <v>24</v>
      </c>
      <c r="Q11" s="13" t="s">
        <v>21</v>
      </c>
      <c r="R11" s="14">
        <v>3</v>
      </c>
      <c r="S11" s="13" t="s">
        <v>21</v>
      </c>
      <c r="T11" s="15"/>
    </row>
    <row r="12" spans="1:20" ht="30" customHeight="1" x14ac:dyDescent="0.3">
      <c r="A12" s="10" t="s">
        <v>35</v>
      </c>
      <c r="B12" s="10" t="s">
        <v>21</v>
      </c>
      <c r="C12" s="10" t="s">
        <v>21</v>
      </c>
      <c r="D12" s="11">
        <v>1</v>
      </c>
      <c r="E12" s="12">
        <f>[1]공종별내역서!F165</f>
        <v>78691117</v>
      </c>
      <c r="F12" s="12">
        <f t="shared" si="0"/>
        <v>78691117</v>
      </c>
      <c r="G12" s="12">
        <f>[1]공종별내역서!H165</f>
        <v>65862468</v>
      </c>
      <c r="H12" s="12">
        <f t="shared" si="1"/>
        <v>65862468</v>
      </c>
      <c r="I12" s="12">
        <f>[1]공종별내역서!J165</f>
        <v>1879689</v>
      </c>
      <c r="J12" s="12">
        <f t="shared" si="2"/>
        <v>1879689</v>
      </c>
      <c r="K12" s="12">
        <f t="shared" si="3"/>
        <v>146433274</v>
      </c>
      <c r="L12" s="12">
        <f t="shared" si="3"/>
        <v>146433274</v>
      </c>
      <c r="M12" s="10" t="s">
        <v>21</v>
      </c>
      <c r="N12" s="13" t="s">
        <v>36</v>
      </c>
      <c r="O12" s="13" t="s">
        <v>21</v>
      </c>
      <c r="P12" s="13" t="s">
        <v>24</v>
      </c>
      <c r="Q12" s="13" t="s">
        <v>21</v>
      </c>
      <c r="R12" s="14">
        <v>3</v>
      </c>
      <c r="S12" s="13" t="s">
        <v>21</v>
      </c>
      <c r="T12" s="15"/>
    </row>
    <row r="13" spans="1:20" ht="30" customHeight="1" x14ac:dyDescent="0.3">
      <c r="A13" s="10" t="s">
        <v>37</v>
      </c>
      <c r="B13" s="10" t="s">
        <v>21</v>
      </c>
      <c r="C13" s="10" t="s">
        <v>21</v>
      </c>
      <c r="D13" s="11">
        <v>1</v>
      </c>
      <c r="E13" s="12">
        <f>[1]공종별내역서!F188</f>
        <v>19581641</v>
      </c>
      <c r="F13" s="12">
        <f t="shared" si="0"/>
        <v>19581641</v>
      </c>
      <c r="G13" s="12">
        <f>[1]공종별내역서!H188</f>
        <v>18144801</v>
      </c>
      <c r="H13" s="12">
        <f t="shared" si="1"/>
        <v>18144801</v>
      </c>
      <c r="I13" s="12">
        <f>[1]공종별내역서!J188</f>
        <v>451520</v>
      </c>
      <c r="J13" s="12">
        <f t="shared" si="2"/>
        <v>451520</v>
      </c>
      <c r="K13" s="12">
        <f t="shared" si="3"/>
        <v>38177962</v>
      </c>
      <c r="L13" s="12">
        <f t="shared" si="3"/>
        <v>38177962</v>
      </c>
      <c r="M13" s="10" t="s">
        <v>21</v>
      </c>
      <c r="N13" s="13" t="s">
        <v>38</v>
      </c>
      <c r="O13" s="13" t="s">
        <v>21</v>
      </c>
      <c r="P13" s="13" t="s">
        <v>24</v>
      </c>
      <c r="Q13" s="13" t="s">
        <v>21</v>
      </c>
      <c r="R13" s="14">
        <v>3</v>
      </c>
      <c r="S13" s="13" t="s">
        <v>21</v>
      </c>
      <c r="T13" s="15"/>
    </row>
    <row r="14" spans="1:20" ht="30" customHeight="1" x14ac:dyDescent="0.3">
      <c r="A14" s="10" t="s">
        <v>39</v>
      </c>
      <c r="B14" s="10" t="s">
        <v>21</v>
      </c>
      <c r="C14" s="10" t="s">
        <v>21</v>
      </c>
      <c r="D14" s="11">
        <v>1</v>
      </c>
      <c r="E14" s="12">
        <f>[1]공종별내역서!F211</f>
        <v>70662143</v>
      </c>
      <c r="F14" s="12">
        <f t="shared" si="0"/>
        <v>70662143</v>
      </c>
      <c r="G14" s="12">
        <f>[1]공종별내역서!H211</f>
        <v>17135253</v>
      </c>
      <c r="H14" s="12">
        <f t="shared" si="1"/>
        <v>17135253</v>
      </c>
      <c r="I14" s="12">
        <f>[1]공종별내역서!J211</f>
        <v>275654</v>
      </c>
      <c r="J14" s="12">
        <f t="shared" si="2"/>
        <v>275654</v>
      </c>
      <c r="K14" s="12">
        <f t="shared" si="3"/>
        <v>88073050</v>
      </c>
      <c r="L14" s="12">
        <f t="shared" si="3"/>
        <v>88073050</v>
      </c>
      <c r="M14" s="10" t="s">
        <v>21</v>
      </c>
      <c r="N14" s="13" t="s">
        <v>40</v>
      </c>
      <c r="O14" s="13" t="s">
        <v>21</v>
      </c>
      <c r="P14" s="13" t="s">
        <v>24</v>
      </c>
      <c r="Q14" s="13" t="s">
        <v>21</v>
      </c>
      <c r="R14" s="14">
        <v>3</v>
      </c>
      <c r="S14" s="13" t="s">
        <v>21</v>
      </c>
      <c r="T14" s="15"/>
    </row>
    <row r="15" spans="1:20" ht="30" customHeight="1" x14ac:dyDescent="0.3">
      <c r="A15" s="10" t="s">
        <v>41</v>
      </c>
      <c r="B15" s="10" t="s">
        <v>21</v>
      </c>
      <c r="C15" s="10" t="s">
        <v>21</v>
      </c>
      <c r="D15" s="11">
        <v>1</v>
      </c>
      <c r="E15" s="12">
        <f>[1]공종별내역서!F234</f>
        <v>13982936</v>
      </c>
      <c r="F15" s="12">
        <f t="shared" si="0"/>
        <v>13982936</v>
      </c>
      <c r="G15" s="12">
        <f>[1]공종별내역서!H234</f>
        <v>14490124</v>
      </c>
      <c r="H15" s="12">
        <f t="shared" si="1"/>
        <v>14490124</v>
      </c>
      <c r="I15" s="12">
        <f>[1]공종별내역서!J234</f>
        <v>358652</v>
      </c>
      <c r="J15" s="12">
        <f t="shared" si="2"/>
        <v>358652</v>
      </c>
      <c r="K15" s="12">
        <f t="shared" si="3"/>
        <v>28831712</v>
      </c>
      <c r="L15" s="12">
        <f t="shared" si="3"/>
        <v>28831712</v>
      </c>
      <c r="M15" s="10" t="s">
        <v>21</v>
      </c>
      <c r="N15" s="13" t="s">
        <v>42</v>
      </c>
      <c r="O15" s="13" t="s">
        <v>21</v>
      </c>
      <c r="P15" s="13" t="s">
        <v>24</v>
      </c>
      <c r="Q15" s="13" t="s">
        <v>21</v>
      </c>
      <c r="R15" s="14">
        <v>3</v>
      </c>
      <c r="S15" s="13" t="s">
        <v>21</v>
      </c>
      <c r="T15" s="15"/>
    </row>
    <row r="16" spans="1:20" ht="30" customHeight="1" x14ac:dyDescent="0.3">
      <c r="A16" s="10" t="s">
        <v>43</v>
      </c>
      <c r="B16" s="10" t="s">
        <v>21</v>
      </c>
      <c r="C16" s="10" t="s">
        <v>21</v>
      </c>
      <c r="D16" s="11">
        <v>1</v>
      </c>
      <c r="E16" s="12">
        <f>[1]공종별내역서!F257</f>
        <v>3390559</v>
      </c>
      <c r="F16" s="12">
        <f t="shared" si="0"/>
        <v>3390559</v>
      </c>
      <c r="G16" s="12">
        <f>[1]공종별내역서!H257</f>
        <v>3098404</v>
      </c>
      <c r="H16" s="12">
        <f t="shared" si="1"/>
        <v>3098404</v>
      </c>
      <c r="I16" s="12">
        <f>[1]공종별내역서!J257</f>
        <v>0</v>
      </c>
      <c r="J16" s="12">
        <f t="shared" si="2"/>
        <v>0</v>
      </c>
      <c r="K16" s="12">
        <f t="shared" si="3"/>
        <v>6488963</v>
      </c>
      <c r="L16" s="12">
        <f t="shared" si="3"/>
        <v>6488963</v>
      </c>
      <c r="M16" s="10" t="s">
        <v>21</v>
      </c>
      <c r="N16" s="13" t="s">
        <v>44</v>
      </c>
      <c r="O16" s="13" t="s">
        <v>21</v>
      </c>
      <c r="P16" s="13" t="s">
        <v>24</v>
      </c>
      <c r="Q16" s="13" t="s">
        <v>21</v>
      </c>
      <c r="R16" s="14">
        <v>3</v>
      </c>
      <c r="S16" s="13" t="s">
        <v>21</v>
      </c>
      <c r="T16" s="15"/>
    </row>
    <row r="17" spans="1:20" ht="30" customHeight="1" x14ac:dyDescent="0.3">
      <c r="A17" s="10" t="s">
        <v>45</v>
      </c>
      <c r="B17" s="10" t="s">
        <v>21</v>
      </c>
      <c r="C17" s="10" t="s">
        <v>21</v>
      </c>
      <c r="D17" s="11">
        <v>1</v>
      </c>
      <c r="E17" s="12">
        <f>[1]공종별내역서!F280</f>
        <v>48238363</v>
      </c>
      <c r="F17" s="12">
        <f t="shared" si="0"/>
        <v>48238363</v>
      </c>
      <c r="G17" s="12">
        <f>[1]공종별내역서!H280</f>
        <v>17694863</v>
      </c>
      <c r="H17" s="12">
        <f t="shared" si="1"/>
        <v>17694863</v>
      </c>
      <c r="I17" s="12">
        <f>[1]공종별내역서!J280</f>
        <v>612555</v>
      </c>
      <c r="J17" s="12">
        <f t="shared" si="2"/>
        <v>612555</v>
      </c>
      <c r="K17" s="12">
        <f t="shared" si="3"/>
        <v>66545781</v>
      </c>
      <c r="L17" s="12">
        <f t="shared" si="3"/>
        <v>66545781</v>
      </c>
      <c r="M17" s="10" t="s">
        <v>21</v>
      </c>
      <c r="N17" s="13" t="s">
        <v>46</v>
      </c>
      <c r="O17" s="13" t="s">
        <v>21</v>
      </c>
      <c r="P17" s="13" t="s">
        <v>24</v>
      </c>
      <c r="Q17" s="13" t="s">
        <v>21</v>
      </c>
      <c r="R17" s="14">
        <v>3</v>
      </c>
      <c r="S17" s="13" t="s">
        <v>21</v>
      </c>
      <c r="T17" s="15"/>
    </row>
    <row r="18" spans="1:20" ht="30" customHeight="1" x14ac:dyDescent="0.3">
      <c r="A18" s="10" t="s">
        <v>47</v>
      </c>
      <c r="B18" s="10" t="s">
        <v>21</v>
      </c>
      <c r="C18" s="10" t="s">
        <v>21</v>
      </c>
      <c r="D18" s="11">
        <v>1</v>
      </c>
      <c r="E18" s="12">
        <f>[1]공종별내역서!F303</f>
        <v>3135430</v>
      </c>
      <c r="F18" s="12">
        <f t="shared" si="0"/>
        <v>3135430</v>
      </c>
      <c r="G18" s="12">
        <f>[1]공종별내역서!H303</f>
        <v>15926409</v>
      </c>
      <c r="H18" s="12">
        <f t="shared" si="1"/>
        <v>15926409</v>
      </c>
      <c r="I18" s="12">
        <f>[1]공종별내역서!J303</f>
        <v>273426</v>
      </c>
      <c r="J18" s="12">
        <f t="shared" si="2"/>
        <v>273426</v>
      </c>
      <c r="K18" s="12">
        <f t="shared" si="3"/>
        <v>19335265</v>
      </c>
      <c r="L18" s="12">
        <f t="shared" si="3"/>
        <v>19335265</v>
      </c>
      <c r="M18" s="10" t="s">
        <v>21</v>
      </c>
      <c r="N18" s="13" t="s">
        <v>48</v>
      </c>
      <c r="O18" s="13" t="s">
        <v>21</v>
      </c>
      <c r="P18" s="13" t="s">
        <v>24</v>
      </c>
      <c r="Q18" s="13" t="s">
        <v>21</v>
      </c>
      <c r="R18" s="14">
        <v>3</v>
      </c>
      <c r="S18" s="13" t="s">
        <v>21</v>
      </c>
      <c r="T18" s="15"/>
    </row>
    <row r="19" spans="1:20" ht="30" customHeight="1" x14ac:dyDescent="0.3">
      <c r="A19" s="10" t="s">
        <v>49</v>
      </c>
      <c r="B19" s="10" t="s">
        <v>21</v>
      </c>
      <c r="C19" s="10" t="s">
        <v>21</v>
      </c>
      <c r="D19" s="11">
        <v>1</v>
      </c>
      <c r="E19" s="12">
        <f>[1]공종별내역서!F349</f>
        <v>65449170</v>
      </c>
      <c r="F19" s="12">
        <f t="shared" si="0"/>
        <v>65449170</v>
      </c>
      <c r="G19" s="12">
        <f>[1]공종별내역서!H349</f>
        <v>6948573</v>
      </c>
      <c r="H19" s="12">
        <f t="shared" si="1"/>
        <v>6948573</v>
      </c>
      <c r="I19" s="12">
        <f>[1]공종별내역서!J349</f>
        <v>2119733</v>
      </c>
      <c r="J19" s="12">
        <f t="shared" si="2"/>
        <v>2119733</v>
      </c>
      <c r="K19" s="12">
        <f t="shared" si="3"/>
        <v>74517476</v>
      </c>
      <c r="L19" s="12">
        <f t="shared" si="3"/>
        <v>74517476</v>
      </c>
      <c r="M19" s="10" t="s">
        <v>21</v>
      </c>
      <c r="N19" s="13" t="s">
        <v>50</v>
      </c>
      <c r="O19" s="13" t="s">
        <v>21</v>
      </c>
      <c r="P19" s="13" t="s">
        <v>24</v>
      </c>
      <c r="Q19" s="13" t="s">
        <v>21</v>
      </c>
      <c r="R19" s="14">
        <v>3</v>
      </c>
      <c r="S19" s="13" t="s">
        <v>21</v>
      </c>
      <c r="T19" s="15"/>
    </row>
    <row r="20" spans="1:20" ht="30" customHeight="1" x14ac:dyDescent="0.3">
      <c r="A20" s="10" t="s">
        <v>51</v>
      </c>
      <c r="B20" s="10" t="s">
        <v>21</v>
      </c>
      <c r="C20" s="10" t="s">
        <v>21</v>
      </c>
      <c r="D20" s="11">
        <v>1</v>
      </c>
      <c r="E20" s="12">
        <f>[1]공종별내역서!F372</f>
        <v>23959872</v>
      </c>
      <c r="F20" s="12">
        <f t="shared" si="0"/>
        <v>23959872</v>
      </c>
      <c r="G20" s="12">
        <f>[1]공종별내역서!H372</f>
        <v>995252</v>
      </c>
      <c r="H20" s="12">
        <f t="shared" si="1"/>
        <v>995252</v>
      </c>
      <c r="I20" s="12">
        <f>[1]공종별내역서!J372</f>
        <v>87305</v>
      </c>
      <c r="J20" s="12">
        <f t="shared" si="2"/>
        <v>87305</v>
      </c>
      <c r="K20" s="12">
        <f t="shared" si="3"/>
        <v>25042429</v>
      </c>
      <c r="L20" s="12">
        <f t="shared" si="3"/>
        <v>25042429</v>
      </c>
      <c r="M20" s="10" t="s">
        <v>21</v>
      </c>
      <c r="N20" s="13" t="s">
        <v>52</v>
      </c>
      <c r="O20" s="13" t="s">
        <v>21</v>
      </c>
      <c r="P20" s="13" t="s">
        <v>24</v>
      </c>
      <c r="Q20" s="13" t="s">
        <v>21</v>
      </c>
      <c r="R20" s="14">
        <v>3</v>
      </c>
      <c r="S20" s="13" t="s">
        <v>21</v>
      </c>
      <c r="T20" s="15"/>
    </row>
    <row r="21" spans="1:20" ht="30" customHeight="1" x14ac:dyDescent="0.3">
      <c r="A21" s="10" t="s">
        <v>53</v>
      </c>
      <c r="B21" s="10" t="s">
        <v>21</v>
      </c>
      <c r="C21" s="10" t="s">
        <v>21</v>
      </c>
      <c r="D21" s="11">
        <v>1</v>
      </c>
      <c r="E21" s="12">
        <f>[1]공종별내역서!F395</f>
        <v>15430839</v>
      </c>
      <c r="F21" s="12">
        <f t="shared" si="0"/>
        <v>15430839</v>
      </c>
      <c r="G21" s="12">
        <f>[1]공종별내역서!H395</f>
        <v>5838022</v>
      </c>
      <c r="H21" s="12">
        <f t="shared" si="1"/>
        <v>5838022</v>
      </c>
      <c r="I21" s="12">
        <f>[1]공종별내역서!J395</f>
        <v>0</v>
      </c>
      <c r="J21" s="12">
        <f t="shared" si="2"/>
        <v>0</v>
      </c>
      <c r="K21" s="12">
        <f t="shared" si="3"/>
        <v>21268861</v>
      </c>
      <c r="L21" s="12">
        <f t="shared" si="3"/>
        <v>21268861</v>
      </c>
      <c r="M21" s="10" t="s">
        <v>21</v>
      </c>
      <c r="N21" s="13" t="s">
        <v>54</v>
      </c>
      <c r="O21" s="13" t="s">
        <v>21</v>
      </c>
      <c r="P21" s="13" t="s">
        <v>24</v>
      </c>
      <c r="Q21" s="13" t="s">
        <v>21</v>
      </c>
      <c r="R21" s="14">
        <v>3</v>
      </c>
      <c r="S21" s="13" t="s">
        <v>21</v>
      </c>
      <c r="T21" s="15"/>
    </row>
    <row r="22" spans="1:20" ht="30" customHeight="1" x14ac:dyDescent="0.3">
      <c r="A22" s="10" t="s">
        <v>55</v>
      </c>
      <c r="B22" s="10" t="s">
        <v>21</v>
      </c>
      <c r="C22" s="10" t="s">
        <v>21</v>
      </c>
      <c r="D22" s="11">
        <v>1</v>
      </c>
      <c r="E22" s="12">
        <f>[1]공종별내역서!F418</f>
        <v>2715920</v>
      </c>
      <c r="F22" s="12">
        <f t="shared" si="0"/>
        <v>2715920</v>
      </c>
      <c r="G22" s="12">
        <f>[1]공종별내역서!H418</f>
        <v>393121</v>
      </c>
      <c r="H22" s="12">
        <f t="shared" si="1"/>
        <v>393121</v>
      </c>
      <c r="I22" s="12">
        <f>[1]공종별내역서!J418</f>
        <v>9274</v>
      </c>
      <c r="J22" s="12">
        <f t="shared" si="2"/>
        <v>9274</v>
      </c>
      <c r="K22" s="12">
        <f t="shared" si="3"/>
        <v>3118315</v>
      </c>
      <c r="L22" s="12">
        <f t="shared" si="3"/>
        <v>3118315</v>
      </c>
      <c r="M22" s="10" t="s">
        <v>21</v>
      </c>
      <c r="N22" s="13" t="s">
        <v>56</v>
      </c>
      <c r="O22" s="13" t="s">
        <v>21</v>
      </c>
      <c r="P22" s="13" t="s">
        <v>24</v>
      </c>
      <c r="Q22" s="13" t="s">
        <v>21</v>
      </c>
      <c r="R22" s="14">
        <v>3</v>
      </c>
      <c r="S22" s="13" t="s">
        <v>21</v>
      </c>
      <c r="T22" s="15"/>
    </row>
    <row r="23" spans="1:20" ht="30" customHeight="1" x14ac:dyDescent="0.3">
      <c r="A23" s="10" t="s">
        <v>57</v>
      </c>
      <c r="B23" s="10" t="s">
        <v>21</v>
      </c>
      <c r="C23" s="10" t="s">
        <v>21</v>
      </c>
      <c r="D23" s="11">
        <v>1</v>
      </c>
      <c r="E23" s="12">
        <f>[1]공종별내역서!F441</f>
        <v>3251630</v>
      </c>
      <c r="F23" s="12">
        <f t="shared" si="0"/>
        <v>3251630</v>
      </c>
      <c r="G23" s="12">
        <f>[1]공종별내역서!H441</f>
        <v>440600</v>
      </c>
      <c r="H23" s="12">
        <f t="shared" si="1"/>
        <v>440600</v>
      </c>
      <c r="I23" s="12">
        <f>[1]공종별내역서!J441</f>
        <v>440600</v>
      </c>
      <c r="J23" s="12">
        <f t="shared" si="2"/>
        <v>440600</v>
      </c>
      <c r="K23" s="12">
        <f t="shared" si="3"/>
        <v>4132830</v>
      </c>
      <c r="L23" s="12">
        <f t="shared" si="3"/>
        <v>4132830</v>
      </c>
      <c r="M23" s="10" t="s">
        <v>21</v>
      </c>
      <c r="N23" s="13" t="s">
        <v>58</v>
      </c>
      <c r="O23" s="13" t="s">
        <v>21</v>
      </c>
      <c r="P23" s="13" t="s">
        <v>24</v>
      </c>
      <c r="Q23" s="13" t="s">
        <v>21</v>
      </c>
      <c r="R23" s="14">
        <v>3</v>
      </c>
      <c r="S23" s="13" t="s">
        <v>21</v>
      </c>
      <c r="T23" s="15"/>
    </row>
    <row r="24" spans="1:20" ht="30" customHeight="1" x14ac:dyDescent="0.3">
      <c r="A24" s="10" t="s">
        <v>59</v>
      </c>
      <c r="B24" s="10" t="s">
        <v>21</v>
      </c>
      <c r="C24" s="10" t="s">
        <v>21</v>
      </c>
      <c r="D24" s="11">
        <v>1</v>
      </c>
      <c r="E24" s="12">
        <f>[1]공종별내역서!F464</f>
        <v>6012534</v>
      </c>
      <c r="F24" s="12">
        <f t="shared" si="0"/>
        <v>6012534</v>
      </c>
      <c r="G24" s="12">
        <f>[1]공종별내역서!H464</f>
        <v>544674</v>
      </c>
      <c r="H24" s="12">
        <f t="shared" si="1"/>
        <v>544674</v>
      </c>
      <c r="I24" s="12">
        <f>[1]공종별내역서!J464</f>
        <v>44440</v>
      </c>
      <c r="J24" s="12">
        <f t="shared" si="2"/>
        <v>44440</v>
      </c>
      <c r="K24" s="12">
        <f t="shared" si="3"/>
        <v>6601648</v>
      </c>
      <c r="L24" s="12">
        <f t="shared" si="3"/>
        <v>6601648</v>
      </c>
      <c r="M24" s="10" t="s">
        <v>21</v>
      </c>
      <c r="N24" s="13" t="s">
        <v>60</v>
      </c>
      <c r="O24" s="13" t="s">
        <v>21</v>
      </c>
      <c r="P24" s="13" t="s">
        <v>24</v>
      </c>
      <c r="Q24" s="13" t="s">
        <v>21</v>
      </c>
      <c r="R24" s="14">
        <v>3</v>
      </c>
      <c r="S24" s="13" t="s">
        <v>21</v>
      </c>
      <c r="T24" s="15"/>
    </row>
    <row r="25" spans="1:20" ht="30" customHeight="1" x14ac:dyDescent="0.3">
      <c r="A25" s="10" t="s">
        <v>61</v>
      </c>
      <c r="B25" s="10" t="s">
        <v>21</v>
      </c>
      <c r="C25" s="10" t="s">
        <v>21</v>
      </c>
      <c r="D25" s="11">
        <v>1</v>
      </c>
      <c r="E25" s="12">
        <f>[1]공종별내역서!F487</f>
        <v>431788</v>
      </c>
      <c r="F25" s="12">
        <f t="shared" si="0"/>
        <v>431788</v>
      </c>
      <c r="G25" s="12">
        <f>[1]공종별내역서!H487</f>
        <v>0</v>
      </c>
      <c r="H25" s="12">
        <f t="shared" si="1"/>
        <v>0</v>
      </c>
      <c r="I25" s="12">
        <f>[1]공종별내역서!J487</f>
        <v>0</v>
      </c>
      <c r="J25" s="12">
        <f t="shared" si="2"/>
        <v>0</v>
      </c>
      <c r="K25" s="12">
        <f t="shared" si="3"/>
        <v>431788</v>
      </c>
      <c r="L25" s="12">
        <f t="shared" si="3"/>
        <v>431788</v>
      </c>
      <c r="M25" s="10" t="s">
        <v>21</v>
      </c>
      <c r="N25" s="13" t="s">
        <v>62</v>
      </c>
      <c r="O25" s="13" t="s">
        <v>21</v>
      </c>
      <c r="P25" s="13" t="s">
        <v>24</v>
      </c>
      <c r="Q25" s="13" t="s">
        <v>21</v>
      </c>
      <c r="R25" s="14">
        <v>3</v>
      </c>
      <c r="S25" s="13" t="s">
        <v>21</v>
      </c>
      <c r="T25" s="15"/>
    </row>
    <row r="26" spans="1:20" ht="30" customHeight="1" x14ac:dyDescent="0.3">
      <c r="A26" s="10" t="s">
        <v>63</v>
      </c>
      <c r="B26" s="10" t="s">
        <v>21</v>
      </c>
      <c r="C26" s="10" t="s">
        <v>21</v>
      </c>
      <c r="D26" s="11">
        <v>1</v>
      </c>
      <c r="E26" s="12">
        <f>[1]공종별내역서!F510</f>
        <v>24424117</v>
      </c>
      <c r="F26" s="12">
        <f t="shared" si="0"/>
        <v>24424117</v>
      </c>
      <c r="G26" s="12">
        <f>[1]공종별내역서!H510</f>
        <v>0</v>
      </c>
      <c r="H26" s="12">
        <f t="shared" si="1"/>
        <v>0</v>
      </c>
      <c r="I26" s="12">
        <f>[1]공종별내역서!J510</f>
        <v>0</v>
      </c>
      <c r="J26" s="12">
        <f t="shared" si="2"/>
        <v>0</v>
      </c>
      <c r="K26" s="12">
        <f t="shared" si="3"/>
        <v>24424117</v>
      </c>
      <c r="L26" s="12">
        <f t="shared" si="3"/>
        <v>24424117</v>
      </c>
      <c r="M26" s="10" t="s">
        <v>21</v>
      </c>
      <c r="N26" s="13" t="s">
        <v>64</v>
      </c>
      <c r="O26" s="13" t="s">
        <v>21</v>
      </c>
      <c r="P26" s="13" t="s">
        <v>24</v>
      </c>
      <c r="Q26" s="13" t="s">
        <v>21</v>
      </c>
      <c r="R26" s="14">
        <v>3</v>
      </c>
      <c r="S26" s="13" t="s">
        <v>21</v>
      </c>
      <c r="T26" s="15"/>
    </row>
    <row r="27" spans="1:20" ht="30" customHeight="1" x14ac:dyDescent="0.3">
      <c r="A27" s="10" t="s">
        <v>65</v>
      </c>
      <c r="B27" s="10" t="s">
        <v>21</v>
      </c>
      <c r="C27" s="10" t="s">
        <v>21</v>
      </c>
      <c r="D27" s="11">
        <v>1</v>
      </c>
      <c r="E27" s="12">
        <f>[1]공종별내역서!F533</f>
        <v>4000000</v>
      </c>
      <c r="F27" s="12">
        <f t="shared" si="0"/>
        <v>4000000</v>
      </c>
      <c r="G27" s="12">
        <f>[1]공종별내역서!H533</f>
        <v>6000000</v>
      </c>
      <c r="H27" s="12">
        <f t="shared" si="1"/>
        <v>6000000</v>
      </c>
      <c r="I27" s="12">
        <f>[1]공종별내역서!J533</f>
        <v>10000000</v>
      </c>
      <c r="J27" s="12">
        <f t="shared" si="2"/>
        <v>10000000</v>
      </c>
      <c r="K27" s="12">
        <f t="shared" si="3"/>
        <v>20000000</v>
      </c>
      <c r="L27" s="12">
        <f t="shared" si="3"/>
        <v>20000000</v>
      </c>
      <c r="M27" s="10" t="s">
        <v>21</v>
      </c>
      <c r="N27" s="13" t="s">
        <v>66</v>
      </c>
      <c r="O27" s="13" t="s">
        <v>21</v>
      </c>
      <c r="P27" s="13" t="s">
        <v>24</v>
      </c>
      <c r="Q27" s="13" t="s">
        <v>21</v>
      </c>
      <c r="R27" s="14">
        <v>3</v>
      </c>
      <c r="S27" s="13" t="s">
        <v>21</v>
      </c>
      <c r="T27" s="15"/>
    </row>
    <row r="28" spans="1:20" ht="30" customHeight="1" x14ac:dyDescent="0.3">
      <c r="A28" s="10" t="s">
        <v>67</v>
      </c>
      <c r="B28" s="10" t="s">
        <v>21</v>
      </c>
      <c r="C28" s="10" t="s">
        <v>21</v>
      </c>
      <c r="D28" s="11">
        <v>1</v>
      </c>
      <c r="E28" s="12">
        <f>[1]공종별내역서!F556</f>
        <v>11655150</v>
      </c>
      <c r="F28" s="12">
        <f t="shared" si="0"/>
        <v>11655150</v>
      </c>
      <c r="G28" s="12">
        <f>[1]공종별내역서!H556</f>
        <v>0</v>
      </c>
      <c r="H28" s="12">
        <f t="shared" si="1"/>
        <v>0</v>
      </c>
      <c r="I28" s="12">
        <f>[1]공종별내역서!J556</f>
        <v>0</v>
      </c>
      <c r="J28" s="12">
        <f t="shared" si="2"/>
        <v>0</v>
      </c>
      <c r="K28" s="12">
        <f t="shared" si="3"/>
        <v>11655150</v>
      </c>
      <c r="L28" s="12">
        <f t="shared" si="3"/>
        <v>11655150</v>
      </c>
      <c r="M28" s="10" t="s">
        <v>21</v>
      </c>
      <c r="N28" s="13" t="s">
        <v>68</v>
      </c>
      <c r="O28" s="13" t="s">
        <v>21</v>
      </c>
      <c r="P28" s="13" t="s">
        <v>24</v>
      </c>
      <c r="Q28" s="13" t="s">
        <v>21</v>
      </c>
      <c r="R28" s="14">
        <v>3</v>
      </c>
      <c r="S28" s="13" t="s">
        <v>21</v>
      </c>
      <c r="T28" s="15"/>
    </row>
    <row r="29" spans="1:20" ht="30" customHeight="1" x14ac:dyDescent="0.3">
      <c r="A29" s="10" t="s">
        <v>69</v>
      </c>
      <c r="B29" s="10" t="s">
        <v>21</v>
      </c>
      <c r="C29" s="10" t="s">
        <v>21</v>
      </c>
      <c r="D29" s="11">
        <v>1</v>
      </c>
      <c r="E29" s="12">
        <f>[1]공종별내역서!F579</f>
        <v>13000000</v>
      </c>
      <c r="F29" s="12">
        <f t="shared" si="0"/>
        <v>13000000</v>
      </c>
      <c r="G29" s="12">
        <f>[1]공종별내역서!H579</f>
        <v>0</v>
      </c>
      <c r="H29" s="12">
        <f t="shared" si="1"/>
        <v>0</v>
      </c>
      <c r="I29" s="12">
        <f>[1]공종별내역서!J579</f>
        <v>0</v>
      </c>
      <c r="J29" s="12">
        <f t="shared" si="2"/>
        <v>0</v>
      </c>
      <c r="K29" s="12">
        <f t="shared" si="3"/>
        <v>13000000</v>
      </c>
      <c r="L29" s="12">
        <f t="shared" si="3"/>
        <v>13000000</v>
      </c>
      <c r="M29" s="10" t="s">
        <v>21</v>
      </c>
      <c r="N29" s="13" t="s">
        <v>70</v>
      </c>
      <c r="O29" s="13" t="s">
        <v>21</v>
      </c>
      <c r="P29" s="13" t="s">
        <v>24</v>
      </c>
      <c r="Q29" s="13" t="s">
        <v>21</v>
      </c>
      <c r="R29" s="14">
        <v>3</v>
      </c>
      <c r="S29" s="13" t="s">
        <v>21</v>
      </c>
      <c r="T29" s="15"/>
    </row>
    <row r="30" spans="1:20" ht="30" customHeight="1" x14ac:dyDescent="0.3">
      <c r="A30" s="10" t="s">
        <v>71</v>
      </c>
      <c r="B30" s="10" t="s">
        <v>72</v>
      </c>
      <c r="C30" s="10" t="s">
        <v>21</v>
      </c>
      <c r="D30" s="11">
        <v>1</v>
      </c>
      <c r="E30" s="12">
        <f>[1]공종별내역서!F602</f>
        <v>0</v>
      </c>
      <c r="F30" s="12">
        <f t="shared" si="0"/>
        <v>0</v>
      </c>
      <c r="G30" s="12">
        <f>[1]공종별내역서!H602</f>
        <v>0</v>
      </c>
      <c r="H30" s="12">
        <f t="shared" si="1"/>
        <v>0</v>
      </c>
      <c r="I30" s="12">
        <f>[1]공종별내역서!J602</f>
        <v>217463</v>
      </c>
      <c r="J30" s="12">
        <f t="shared" si="2"/>
        <v>217463</v>
      </c>
      <c r="K30" s="12">
        <f t="shared" si="3"/>
        <v>217463</v>
      </c>
      <c r="L30" s="12">
        <f t="shared" si="3"/>
        <v>217463</v>
      </c>
      <c r="M30" s="10" t="s">
        <v>21</v>
      </c>
      <c r="N30" s="13" t="s">
        <v>73</v>
      </c>
      <c r="O30" s="13" t="s">
        <v>21</v>
      </c>
      <c r="P30" s="13" t="s">
        <v>24</v>
      </c>
      <c r="Q30" s="13" t="s">
        <v>21</v>
      </c>
      <c r="R30" s="14">
        <v>3</v>
      </c>
      <c r="S30" s="13" t="s">
        <v>21</v>
      </c>
      <c r="T30" s="15"/>
    </row>
    <row r="31" spans="1:20" ht="30" customHeight="1" x14ac:dyDescent="0.3">
      <c r="A31" s="10" t="s">
        <v>74</v>
      </c>
      <c r="B31" s="10" t="s">
        <v>75</v>
      </c>
      <c r="C31" s="10" t="s">
        <v>21</v>
      </c>
      <c r="D31" s="11">
        <v>1</v>
      </c>
      <c r="E31" s="12">
        <f>[1]공종별내역서!F625</f>
        <v>-500000</v>
      </c>
      <c r="F31" s="12">
        <f t="shared" si="0"/>
        <v>-500000</v>
      </c>
      <c r="G31" s="12">
        <f>[1]공종별내역서!H625</f>
        <v>0</v>
      </c>
      <c r="H31" s="12">
        <f t="shared" si="1"/>
        <v>0</v>
      </c>
      <c r="I31" s="12">
        <f>[1]공종별내역서!J625</f>
        <v>0</v>
      </c>
      <c r="J31" s="12">
        <f t="shared" si="2"/>
        <v>0</v>
      </c>
      <c r="K31" s="12">
        <f t="shared" si="3"/>
        <v>-500000</v>
      </c>
      <c r="L31" s="12">
        <f t="shared" si="3"/>
        <v>-500000</v>
      </c>
      <c r="M31" s="10" t="s">
        <v>21</v>
      </c>
      <c r="N31" s="13" t="s">
        <v>76</v>
      </c>
      <c r="O31" s="13" t="s">
        <v>21</v>
      </c>
      <c r="P31" s="13" t="s">
        <v>21</v>
      </c>
      <c r="Q31" s="13" t="s">
        <v>77</v>
      </c>
      <c r="R31" s="14">
        <v>2</v>
      </c>
      <c r="S31" s="13" t="s">
        <v>21</v>
      </c>
      <c r="T31" s="15">
        <f>L31*1</f>
        <v>-500000</v>
      </c>
    </row>
    <row r="32" spans="1:20" ht="30" customHeight="1" x14ac:dyDescent="0.3">
      <c r="A32" s="10" t="s">
        <v>78</v>
      </c>
      <c r="B32" s="10" t="s">
        <v>21</v>
      </c>
      <c r="C32" s="10" t="s">
        <v>21</v>
      </c>
      <c r="D32" s="11">
        <v>1</v>
      </c>
      <c r="E32" s="12">
        <f>[1]공종별내역서!F648</f>
        <v>-672531</v>
      </c>
      <c r="F32" s="12">
        <f t="shared" si="0"/>
        <v>-672531</v>
      </c>
      <c r="G32" s="12">
        <f>[1]공종별내역서!H648</f>
        <v>0</v>
      </c>
      <c r="H32" s="12">
        <f t="shared" si="1"/>
        <v>0</v>
      </c>
      <c r="I32" s="12">
        <f>[1]공종별내역서!J648</f>
        <v>0</v>
      </c>
      <c r="J32" s="12">
        <f t="shared" si="2"/>
        <v>0</v>
      </c>
      <c r="K32" s="12">
        <f t="shared" si="3"/>
        <v>-672531</v>
      </c>
      <c r="L32" s="12">
        <f t="shared" si="3"/>
        <v>-672531</v>
      </c>
      <c r="M32" s="10" t="s">
        <v>21</v>
      </c>
      <c r="N32" s="13" t="s">
        <v>79</v>
      </c>
      <c r="O32" s="13" t="s">
        <v>21</v>
      </c>
      <c r="P32" s="13" t="s">
        <v>21</v>
      </c>
      <c r="Q32" s="13" t="s">
        <v>80</v>
      </c>
      <c r="R32" s="14">
        <v>2</v>
      </c>
      <c r="S32" s="13" t="s">
        <v>21</v>
      </c>
      <c r="T32" s="15">
        <f>L32*1</f>
        <v>-672531</v>
      </c>
    </row>
    <row r="33" spans="1:27" ht="30" customHeight="1" x14ac:dyDescent="0.3">
      <c r="A33" s="10" t="s">
        <v>81</v>
      </c>
      <c r="B33" s="10" t="s">
        <v>21</v>
      </c>
      <c r="C33" s="10" t="s">
        <v>21</v>
      </c>
      <c r="D33" s="11">
        <v>1</v>
      </c>
      <c r="E33" s="12">
        <f>[1]공종별내역서!F671</f>
        <v>0</v>
      </c>
      <c r="F33" s="12">
        <f t="shared" si="0"/>
        <v>0</v>
      </c>
      <c r="G33" s="12">
        <f>[1]공종별내역서!H671</f>
        <v>0</v>
      </c>
      <c r="H33" s="12">
        <f t="shared" si="1"/>
        <v>0</v>
      </c>
      <c r="I33" s="12">
        <f>[1]공종별내역서!J671</f>
        <v>1259352</v>
      </c>
      <c r="J33" s="12">
        <f t="shared" si="2"/>
        <v>1259352</v>
      </c>
      <c r="K33" s="12">
        <f t="shared" si="3"/>
        <v>1259352</v>
      </c>
      <c r="L33" s="12">
        <f t="shared" si="3"/>
        <v>1259352</v>
      </c>
      <c r="M33" s="10" t="s">
        <v>21</v>
      </c>
      <c r="N33" s="13" t="s">
        <v>82</v>
      </c>
      <c r="O33" s="13" t="s">
        <v>21</v>
      </c>
      <c r="P33" s="13" t="s">
        <v>21</v>
      </c>
      <c r="Q33" s="13" t="s">
        <v>83</v>
      </c>
      <c r="R33" s="14">
        <v>2</v>
      </c>
      <c r="S33" s="13" t="s">
        <v>21</v>
      </c>
      <c r="T33" s="15">
        <f>L33*1</f>
        <v>1259352</v>
      </c>
    </row>
    <row r="34" spans="1:27" ht="30" customHeight="1" x14ac:dyDescent="0.3">
      <c r="A34" s="10" t="s">
        <v>84</v>
      </c>
      <c r="B34" s="10" t="s">
        <v>21</v>
      </c>
      <c r="C34" s="10" t="s">
        <v>21</v>
      </c>
      <c r="D34" s="11">
        <v>1</v>
      </c>
      <c r="E34" s="12">
        <f>[1]공종별내역서!F694</f>
        <v>0</v>
      </c>
      <c r="F34" s="12">
        <f t="shared" si="0"/>
        <v>0</v>
      </c>
      <c r="G34" s="12">
        <f>[1]공종별내역서!H694</f>
        <v>0</v>
      </c>
      <c r="H34" s="12">
        <f t="shared" si="1"/>
        <v>0</v>
      </c>
      <c r="I34" s="12">
        <f>[1]공종별내역서!J694</f>
        <v>2731720</v>
      </c>
      <c r="J34" s="12">
        <f t="shared" si="2"/>
        <v>2731720</v>
      </c>
      <c r="K34" s="12">
        <f t="shared" si="3"/>
        <v>2731720</v>
      </c>
      <c r="L34" s="12">
        <f t="shared" si="3"/>
        <v>2731720</v>
      </c>
      <c r="M34" s="10" t="s">
        <v>21</v>
      </c>
      <c r="N34" s="13" t="s">
        <v>85</v>
      </c>
      <c r="O34" s="13" t="s">
        <v>21</v>
      </c>
      <c r="P34" s="13" t="s">
        <v>21</v>
      </c>
      <c r="Q34" s="13" t="s">
        <v>86</v>
      </c>
      <c r="R34" s="14">
        <v>2</v>
      </c>
      <c r="S34" s="13" t="s">
        <v>21</v>
      </c>
      <c r="T34" s="15">
        <f>L34*1</f>
        <v>2731720</v>
      </c>
    </row>
    <row r="35" spans="1:27" ht="30" customHeight="1" x14ac:dyDescent="0.3">
      <c r="A35" s="10" t="s">
        <v>87</v>
      </c>
      <c r="B35" s="10" t="s">
        <v>21</v>
      </c>
      <c r="C35" s="10" t="s">
        <v>21</v>
      </c>
      <c r="D35" s="11">
        <v>1</v>
      </c>
      <c r="E35" s="12">
        <f>F36+F37+F38+F39+F40</f>
        <v>130245519</v>
      </c>
      <c r="F35" s="12">
        <f t="shared" si="0"/>
        <v>130245519</v>
      </c>
      <c r="G35" s="12">
        <f>H36+H37+H38+H39+H40</f>
        <v>11769880</v>
      </c>
      <c r="H35" s="12">
        <f t="shared" si="1"/>
        <v>11769880</v>
      </c>
      <c r="I35" s="12">
        <f>J36+J37+J38+J39+J40</f>
        <v>440600</v>
      </c>
      <c r="J35" s="12">
        <f t="shared" si="2"/>
        <v>440600</v>
      </c>
      <c r="K35" s="12">
        <f t="shared" si="3"/>
        <v>142455999</v>
      </c>
      <c r="L35" s="12">
        <f t="shared" si="3"/>
        <v>142455999</v>
      </c>
      <c r="M35" s="10" t="s">
        <v>21</v>
      </c>
      <c r="N35" s="13" t="s">
        <v>88</v>
      </c>
      <c r="O35" s="13" t="s">
        <v>21</v>
      </c>
      <c r="P35" s="13" t="s">
        <v>22</v>
      </c>
      <c r="Q35" s="13" t="s">
        <v>21</v>
      </c>
      <c r="R35" s="14">
        <v>2</v>
      </c>
      <c r="S35" s="13" t="s">
        <v>21</v>
      </c>
      <c r="T35" s="15"/>
    </row>
    <row r="36" spans="1:27" ht="30" customHeight="1" x14ac:dyDescent="0.3">
      <c r="A36" s="10" t="s">
        <v>89</v>
      </c>
      <c r="B36" s="10" t="s">
        <v>21</v>
      </c>
      <c r="C36" s="10" t="s">
        <v>21</v>
      </c>
      <c r="D36" s="11">
        <v>1</v>
      </c>
      <c r="E36" s="12">
        <f>[1]공종별내역서!F717</f>
        <v>24341463</v>
      </c>
      <c r="F36" s="12">
        <f t="shared" si="0"/>
        <v>24341463</v>
      </c>
      <c r="G36" s="12">
        <f>[1]공종별내역서!H717</f>
        <v>2215278</v>
      </c>
      <c r="H36" s="12">
        <f t="shared" si="1"/>
        <v>2215278</v>
      </c>
      <c r="I36" s="12">
        <f>[1]공종별내역서!J717</f>
        <v>440600</v>
      </c>
      <c r="J36" s="12">
        <f t="shared" si="2"/>
        <v>440600</v>
      </c>
      <c r="K36" s="12">
        <f t="shared" si="3"/>
        <v>26997341</v>
      </c>
      <c r="L36" s="12">
        <f t="shared" si="3"/>
        <v>26997341</v>
      </c>
      <c r="M36" s="10" t="s">
        <v>21</v>
      </c>
      <c r="N36" s="13" t="s">
        <v>90</v>
      </c>
      <c r="O36" s="13" t="s">
        <v>21</v>
      </c>
      <c r="P36" s="13" t="s">
        <v>88</v>
      </c>
      <c r="Q36" s="13" t="s">
        <v>21</v>
      </c>
      <c r="R36" s="14">
        <v>3</v>
      </c>
      <c r="S36" s="13" t="s">
        <v>21</v>
      </c>
      <c r="T36" s="15"/>
    </row>
    <row r="37" spans="1:27" ht="30" customHeight="1" x14ac:dyDescent="0.3">
      <c r="A37" s="10" t="s">
        <v>91</v>
      </c>
      <c r="B37" s="10" t="s">
        <v>21</v>
      </c>
      <c r="C37" s="10" t="s">
        <v>21</v>
      </c>
      <c r="D37" s="11">
        <v>1</v>
      </c>
      <c r="E37" s="12">
        <f>[1]공종별내역서!F809</f>
        <v>8521975</v>
      </c>
      <c r="F37" s="12">
        <f t="shared" si="0"/>
        <v>8521975</v>
      </c>
      <c r="G37" s="12">
        <f>[1]공종별내역서!H809</f>
        <v>4018927</v>
      </c>
      <c r="H37" s="12">
        <f t="shared" si="1"/>
        <v>4018927</v>
      </c>
      <c r="I37" s="12">
        <f>[1]공종별내역서!J809</f>
        <v>0</v>
      </c>
      <c r="J37" s="12">
        <f t="shared" si="2"/>
        <v>0</v>
      </c>
      <c r="K37" s="12">
        <f t="shared" ref="K37:L68" si="4">E37+G37+I37</f>
        <v>12540902</v>
      </c>
      <c r="L37" s="12">
        <f t="shared" si="4"/>
        <v>12540902</v>
      </c>
      <c r="M37" s="10" t="s">
        <v>21</v>
      </c>
      <c r="N37" s="13" t="s">
        <v>92</v>
      </c>
      <c r="O37" s="13" t="s">
        <v>21</v>
      </c>
      <c r="P37" s="13" t="s">
        <v>88</v>
      </c>
      <c r="Q37" s="13" t="s">
        <v>21</v>
      </c>
      <c r="R37" s="14">
        <v>3</v>
      </c>
      <c r="S37" s="13" t="s">
        <v>21</v>
      </c>
      <c r="T37" s="15"/>
      <c r="W37" s="16"/>
      <c r="X37" s="17"/>
      <c r="Y37" s="17"/>
      <c r="Z37" s="17"/>
      <c r="AA37" s="17"/>
    </row>
    <row r="38" spans="1:27" ht="30" customHeight="1" x14ac:dyDescent="0.3">
      <c r="A38" s="10" t="s">
        <v>93</v>
      </c>
      <c r="B38" s="10" t="s">
        <v>21</v>
      </c>
      <c r="C38" s="10" t="s">
        <v>21</v>
      </c>
      <c r="D38" s="11">
        <v>1</v>
      </c>
      <c r="E38" s="12">
        <f>[1]공종별내역서!F878</f>
        <v>3631914</v>
      </c>
      <c r="F38" s="12">
        <f t="shared" si="0"/>
        <v>3631914</v>
      </c>
      <c r="G38" s="12">
        <f>[1]공종별내역서!H878</f>
        <v>4706229</v>
      </c>
      <c r="H38" s="12">
        <f t="shared" si="1"/>
        <v>4706229</v>
      </c>
      <c r="I38" s="12">
        <f>[1]공종별내역서!J878</f>
        <v>0</v>
      </c>
      <c r="J38" s="12">
        <f t="shared" si="2"/>
        <v>0</v>
      </c>
      <c r="K38" s="12">
        <f t="shared" si="4"/>
        <v>8338143</v>
      </c>
      <c r="L38" s="12">
        <f t="shared" si="4"/>
        <v>8338143</v>
      </c>
      <c r="M38" s="10" t="s">
        <v>21</v>
      </c>
      <c r="N38" s="13" t="s">
        <v>94</v>
      </c>
      <c r="O38" s="13" t="s">
        <v>21</v>
      </c>
      <c r="P38" s="13" t="s">
        <v>88</v>
      </c>
      <c r="Q38" s="13" t="s">
        <v>21</v>
      </c>
      <c r="R38" s="14">
        <v>3</v>
      </c>
      <c r="S38" s="13" t="s">
        <v>21</v>
      </c>
      <c r="T38" s="15"/>
      <c r="W38" s="17"/>
      <c r="X38" s="17"/>
      <c r="Y38" s="17"/>
      <c r="Z38" s="17"/>
      <c r="AA38" s="17"/>
    </row>
    <row r="39" spans="1:27" ht="30" customHeight="1" x14ac:dyDescent="0.3">
      <c r="A39" s="10" t="s">
        <v>95</v>
      </c>
      <c r="B39" s="10" t="s">
        <v>21</v>
      </c>
      <c r="C39" s="10" t="s">
        <v>21</v>
      </c>
      <c r="D39" s="11">
        <v>1</v>
      </c>
      <c r="E39" s="12">
        <f>[1]공종별내역서!F901</f>
        <v>464124</v>
      </c>
      <c r="F39" s="12">
        <f t="shared" si="0"/>
        <v>464124</v>
      </c>
      <c r="G39" s="12">
        <f>[1]공종별내역서!H901</f>
        <v>829446</v>
      </c>
      <c r="H39" s="12">
        <f t="shared" si="1"/>
        <v>829446</v>
      </c>
      <c r="I39" s="12">
        <f>[1]공종별내역서!J901</f>
        <v>0</v>
      </c>
      <c r="J39" s="12">
        <f t="shared" si="2"/>
        <v>0</v>
      </c>
      <c r="K39" s="12">
        <f t="shared" si="4"/>
        <v>1293570</v>
      </c>
      <c r="L39" s="12">
        <f t="shared" si="4"/>
        <v>1293570</v>
      </c>
      <c r="M39" s="10" t="s">
        <v>21</v>
      </c>
      <c r="N39" s="13" t="s">
        <v>96</v>
      </c>
      <c r="O39" s="13" t="s">
        <v>21</v>
      </c>
      <c r="P39" s="13" t="s">
        <v>88</v>
      </c>
      <c r="Q39" s="13" t="s">
        <v>21</v>
      </c>
      <c r="R39" s="14">
        <v>3</v>
      </c>
      <c r="S39" s="13" t="s">
        <v>21</v>
      </c>
      <c r="T39" s="15"/>
    </row>
    <row r="40" spans="1:27" ht="30" customHeight="1" x14ac:dyDescent="0.3">
      <c r="A40" s="10" t="s">
        <v>97</v>
      </c>
      <c r="B40" s="10" t="s">
        <v>21</v>
      </c>
      <c r="C40" s="10" t="s">
        <v>21</v>
      </c>
      <c r="D40" s="11">
        <v>1</v>
      </c>
      <c r="E40" s="12">
        <f>[1]공종별내역서!F947</f>
        <v>93286043</v>
      </c>
      <c r="F40" s="12">
        <f t="shared" si="0"/>
        <v>93286043</v>
      </c>
      <c r="G40" s="12">
        <f>[1]공종별내역서!H947</f>
        <v>0</v>
      </c>
      <c r="H40" s="12">
        <f t="shared" si="1"/>
        <v>0</v>
      </c>
      <c r="I40" s="12">
        <f>[1]공종별내역서!J947</f>
        <v>0</v>
      </c>
      <c r="J40" s="12">
        <f t="shared" si="2"/>
        <v>0</v>
      </c>
      <c r="K40" s="12">
        <f t="shared" si="4"/>
        <v>93286043</v>
      </c>
      <c r="L40" s="12">
        <f t="shared" si="4"/>
        <v>93286043</v>
      </c>
      <c r="M40" s="10" t="s">
        <v>21</v>
      </c>
      <c r="N40" s="13" t="s">
        <v>98</v>
      </c>
      <c r="O40" s="13" t="s">
        <v>21</v>
      </c>
      <c r="P40" s="13" t="s">
        <v>88</v>
      </c>
      <c r="Q40" s="13" t="s">
        <v>21</v>
      </c>
      <c r="R40" s="14">
        <v>3</v>
      </c>
      <c r="S40" s="13" t="s">
        <v>21</v>
      </c>
      <c r="T40" s="15"/>
    </row>
    <row r="41" spans="1:27" ht="30" customHeight="1" x14ac:dyDescent="0.3">
      <c r="A41" s="10" t="s">
        <v>99</v>
      </c>
      <c r="B41" s="10" t="s">
        <v>21</v>
      </c>
      <c r="C41" s="10" t="s">
        <v>21</v>
      </c>
      <c r="D41" s="11">
        <v>1</v>
      </c>
      <c r="E41" s="12">
        <f>F42+F50+F56+F60+F63+F67+F71+F73</f>
        <v>48777008</v>
      </c>
      <c r="F41" s="12">
        <f t="shared" si="0"/>
        <v>48777008</v>
      </c>
      <c r="G41" s="12">
        <f>H42+H50+H56+H60+H63+H67+H71+H73</f>
        <v>14982063</v>
      </c>
      <c r="H41" s="12">
        <f t="shared" si="1"/>
        <v>14982063</v>
      </c>
      <c r="I41" s="12">
        <f>J42+J50+J56+J60+J63+J67+J71+J73</f>
        <v>4010990</v>
      </c>
      <c r="J41" s="12">
        <f t="shared" si="2"/>
        <v>4010990</v>
      </c>
      <c r="K41" s="12">
        <f t="shared" si="4"/>
        <v>67770061</v>
      </c>
      <c r="L41" s="12">
        <f t="shared" si="4"/>
        <v>67770061</v>
      </c>
      <c r="M41" s="10" t="s">
        <v>21</v>
      </c>
      <c r="N41" s="13" t="s">
        <v>100</v>
      </c>
      <c r="O41" s="13" t="s">
        <v>21</v>
      </c>
      <c r="P41" s="13" t="s">
        <v>22</v>
      </c>
      <c r="Q41" s="13" t="s">
        <v>21</v>
      </c>
      <c r="R41" s="14">
        <v>2</v>
      </c>
      <c r="S41" s="13" t="s">
        <v>21</v>
      </c>
      <c r="T41" s="15"/>
    </row>
    <row r="42" spans="1:27" ht="30" customHeight="1" x14ac:dyDescent="0.3">
      <c r="A42" s="10" t="s">
        <v>101</v>
      </c>
      <c r="B42" s="10" t="s">
        <v>21</v>
      </c>
      <c r="C42" s="10" t="s">
        <v>21</v>
      </c>
      <c r="D42" s="11">
        <v>1</v>
      </c>
      <c r="E42" s="12">
        <f>F43+F44+F45+F46+F47+F48+F49</f>
        <v>1311047</v>
      </c>
      <c r="F42" s="12">
        <f t="shared" si="0"/>
        <v>1311047</v>
      </c>
      <c r="G42" s="12">
        <f>H43+H44+H45+H46+H47+H48+H49</f>
        <v>2499217</v>
      </c>
      <c r="H42" s="12">
        <f t="shared" si="1"/>
        <v>2499217</v>
      </c>
      <c r="I42" s="12">
        <f>J43+J44+J45+J46+J47+J48+J49</f>
        <v>1964910</v>
      </c>
      <c r="J42" s="12">
        <f t="shared" si="2"/>
        <v>1964910</v>
      </c>
      <c r="K42" s="12">
        <f t="shared" si="4"/>
        <v>5775174</v>
      </c>
      <c r="L42" s="12">
        <f t="shared" si="4"/>
        <v>5775174</v>
      </c>
      <c r="M42" s="10" t="s">
        <v>21</v>
      </c>
      <c r="N42" s="13" t="s">
        <v>102</v>
      </c>
      <c r="O42" s="13" t="s">
        <v>21</v>
      </c>
      <c r="P42" s="13" t="s">
        <v>100</v>
      </c>
      <c r="Q42" s="13" t="s">
        <v>21</v>
      </c>
      <c r="R42" s="14">
        <v>3</v>
      </c>
      <c r="S42" s="13" t="s">
        <v>21</v>
      </c>
      <c r="T42" s="15"/>
    </row>
    <row r="43" spans="1:27" ht="30" customHeight="1" x14ac:dyDescent="0.3">
      <c r="A43" s="10" t="s">
        <v>103</v>
      </c>
      <c r="B43" s="10" t="s">
        <v>21</v>
      </c>
      <c r="C43" s="10" t="s">
        <v>21</v>
      </c>
      <c r="D43" s="11">
        <v>1</v>
      </c>
      <c r="E43" s="12">
        <f>[1]공종별내역서!F970</f>
        <v>125444</v>
      </c>
      <c r="F43" s="12">
        <f t="shared" si="0"/>
        <v>125444</v>
      </c>
      <c r="G43" s="12">
        <f>[1]공종별내역서!H970</f>
        <v>250256</v>
      </c>
      <c r="H43" s="12">
        <f t="shared" si="1"/>
        <v>250256</v>
      </c>
      <c r="I43" s="12">
        <f>[1]공종별내역서!J970</f>
        <v>215437</v>
      </c>
      <c r="J43" s="12">
        <f t="shared" si="2"/>
        <v>215437</v>
      </c>
      <c r="K43" s="12">
        <f t="shared" si="4"/>
        <v>591137</v>
      </c>
      <c r="L43" s="12">
        <f t="shared" si="4"/>
        <v>591137</v>
      </c>
      <c r="M43" s="10" t="s">
        <v>21</v>
      </c>
      <c r="N43" s="13" t="s">
        <v>104</v>
      </c>
      <c r="O43" s="13" t="s">
        <v>21</v>
      </c>
      <c r="P43" s="13" t="s">
        <v>102</v>
      </c>
      <c r="Q43" s="13" t="s">
        <v>21</v>
      </c>
      <c r="R43" s="14">
        <v>4</v>
      </c>
      <c r="S43" s="13" t="s">
        <v>21</v>
      </c>
      <c r="T43" s="15"/>
    </row>
    <row r="44" spans="1:27" ht="30" customHeight="1" x14ac:dyDescent="0.3">
      <c r="A44" s="10" t="s">
        <v>105</v>
      </c>
      <c r="B44" s="10" t="s">
        <v>21</v>
      </c>
      <c r="C44" s="10" t="s">
        <v>21</v>
      </c>
      <c r="D44" s="11">
        <v>1</v>
      </c>
      <c r="E44" s="12">
        <f>[1]공종별내역서!F993</f>
        <v>762131</v>
      </c>
      <c r="F44" s="12">
        <f t="shared" si="0"/>
        <v>762131</v>
      </c>
      <c r="G44" s="12">
        <f>[1]공종별내역서!H993</f>
        <v>1549941</v>
      </c>
      <c r="H44" s="12">
        <f t="shared" si="1"/>
        <v>1549941</v>
      </c>
      <c r="I44" s="12">
        <f>[1]공종별내역서!J993</f>
        <v>1284000</v>
      </c>
      <c r="J44" s="12">
        <f t="shared" si="2"/>
        <v>1284000</v>
      </c>
      <c r="K44" s="12">
        <f t="shared" si="4"/>
        <v>3596072</v>
      </c>
      <c r="L44" s="12">
        <f t="shared" si="4"/>
        <v>3596072</v>
      </c>
      <c r="M44" s="10" t="s">
        <v>21</v>
      </c>
      <c r="N44" s="13" t="s">
        <v>106</v>
      </c>
      <c r="O44" s="13" t="s">
        <v>21</v>
      </c>
      <c r="P44" s="13" t="s">
        <v>102</v>
      </c>
      <c r="Q44" s="13" t="s">
        <v>21</v>
      </c>
      <c r="R44" s="14">
        <v>4</v>
      </c>
      <c r="S44" s="13" t="s">
        <v>21</v>
      </c>
      <c r="T44" s="15"/>
    </row>
    <row r="45" spans="1:27" ht="30" customHeight="1" x14ac:dyDescent="0.3">
      <c r="A45" s="10" t="s">
        <v>107</v>
      </c>
      <c r="B45" s="10" t="s">
        <v>21</v>
      </c>
      <c r="C45" s="10" t="s">
        <v>21</v>
      </c>
      <c r="D45" s="11">
        <v>1</v>
      </c>
      <c r="E45" s="12">
        <f>[1]공종별내역서!F1016</f>
        <v>11040</v>
      </c>
      <c r="F45" s="12">
        <f t="shared" si="0"/>
        <v>11040</v>
      </c>
      <c r="G45" s="12">
        <f>[1]공종별내역서!H1016</f>
        <v>220032</v>
      </c>
      <c r="H45" s="12">
        <f t="shared" si="1"/>
        <v>220032</v>
      </c>
      <c r="I45" s="12">
        <f>[1]공종별내역서!J1016</f>
        <v>0</v>
      </c>
      <c r="J45" s="12">
        <f t="shared" si="2"/>
        <v>0</v>
      </c>
      <c r="K45" s="12">
        <f t="shared" si="4"/>
        <v>231072</v>
      </c>
      <c r="L45" s="12">
        <f t="shared" si="4"/>
        <v>231072</v>
      </c>
      <c r="M45" s="10" t="s">
        <v>21</v>
      </c>
      <c r="N45" s="13" t="s">
        <v>108</v>
      </c>
      <c r="O45" s="13" t="s">
        <v>21</v>
      </c>
      <c r="P45" s="13" t="s">
        <v>102</v>
      </c>
      <c r="Q45" s="13" t="s">
        <v>21</v>
      </c>
      <c r="R45" s="14">
        <v>4</v>
      </c>
      <c r="S45" s="13" t="s">
        <v>21</v>
      </c>
      <c r="T45" s="15"/>
    </row>
    <row r="46" spans="1:27" ht="30" customHeight="1" x14ac:dyDescent="0.3">
      <c r="A46" s="10" t="s">
        <v>109</v>
      </c>
      <c r="B46" s="10" t="s">
        <v>21</v>
      </c>
      <c r="C46" s="10" t="s">
        <v>21</v>
      </c>
      <c r="D46" s="11">
        <v>1</v>
      </c>
      <c r="E46" s="12">
        <f>[1]공종별내역서!F1039</f>
        <v>23141</v>
      </c>
      <c r="F46" s="12">
        <f t="shared" si="0"/>
        <v>23141</v>
      </c>
      <c r="G46" s="12">
        <f>[1]공종별내역서!H1039</f>
        <v>34456</v>
      </c>
      <c r="H46" s="12">
        <f t="shared" si="1"/>
        <v>34456</v>
      </c>
      <c r="I46" s="12">
        <f>[1]공종별내역서!J1039</f>
        <v>31682</v>
      </c>
      <c r="J46" s="12">
        <f t="shared" si="2"/>
        <v>31682</v>
      </c>
      <c r="K46" s="12">
        <f t="shared" si="4"/>
        <v>89279</v>
      </c>
      <c r="L46" s="12">
        <f t="shared" si="4"/>
        <v>89279</v>
      </c>
      <c r="M46" s="10" t="s">
        <v>21</v>
      </c>
      <c r="N46" s="13" t="s">
        <v>110</v>
      </c>
      <c r="O46" s="13" t="s">
        <v>21</v>
      </c>
      <c r="P46" s="13" t="s">
        <v>102</v>
      </c>
      <c r="Q46" s="13" t="s">
        <v>21</v>
      </c>
      <c r="R46" s="14">
        <v>4</v>
      </c>
      <c r="S46" s="13" t="s">
        <v>21</v>
      </c>
      <c r="T46" s="15"/>
    </row>
    <row r="47" spans="1:27" ht="30" customHeight="1" x14ac:dyDescent="0.3">
      <c r="A47" s="10" t="s">
        <v>111</v>
      </c>
      <c r="B47" s="10" t="s">
        <v>21</v>
      </c>
      <c r="C47" s="10" t="s">
        <v>21</v>
      </c>
      <c r="D47" s="11">
        <v>1</v>
      </c>
      <c r="E47" s="12">
        <f>[1]공종별내역서!F1062</f>
        <v>13728</v>
      </c>
      <c r="F47" s="12">
        <f t="shared" si="0"/>
        <v>13728</v>
      </c>
      <c r="G47" s="12">
        <f>[1]공종별내역서!H1062</f>
        <v>20448</v>
      </c>
      <c r="H47" s="12">
        <f t="shared" si="1"/>
        <v>20448</v>
      </c>
      <c r="I47" s="12">
        <f>[1]공종별내역서!J1062</f>
        <v>18816</v>
      </c>
      <c r="J47" s="12">
        <f t="shared" si="2"/>
        <v>18816</v>
      </c>
      <c r="K47" s="12">
        <f t="shared" si="4"/>
        <v>52992</v>
      </c>
      <c r="L47" s="12">
        <f t="shared" si="4"/>
        <v>52992</v>
      </c>
      <c r="M47" s="10" t="s">
        <v>21</v>
      </c>
      <c r="N47" s="13" t="s">
        <v>112</v>
      </c>
      <c r="O47" s="13" t="s">
        <v>21</v>
      </c>
      <c r="P47" s="13" t="s">
        <v>102</v>
      </c>
      <c r="Q47" s="13" t="s">
        <v>21</v>
      </c>
      <c r="R47" s="14">
        <v>4</v>
      </c>
      <c r="S47" s="13" t="s">
        <v>21</v>
      </c>
      <c r="T47" s="15"/>
    </row>
    <row r="48" spans="1:27" ht="30" customHeight="1" x14ac:dyDescent="0.3">
      <c r="A48" s="10" t="s">
        <v>113</v>
      </c>
      <c r="B48" s="10" t="s">
        <v>21</v>
      </c>
      <c r="C48" s="10" t="s">
        <v>21</v>
      </c>
      <c r="D48" s="11">
        <v>1</v>
      </c>
      <c r="E48" s="12">
        <f>[1]공종별내역서!F1085</f>
        <v>183685</v>
      </c>
      <c r="F48" s="12">
        <f t="shared" si="0"/>
        <v>183685</v>
      </c>
      <c r="G48" s="12">
        <f>[1]공종별내역서!H1085</f>
        <v>138040</v>
      </c>
      <c r="H48" s="12">
        <f t="shared" si="1"/>
        <v>138040</v>
      </c>
      <c r="I48" s="12">
        <f>[1]공종별내역서!J1085</f>
        <v>151980</v>
      </c>
      <c r="J48" s="12">
        <f t="shared" si="2"/>
        <v>151980</v>
      </c>
      <c r="K48" s="12">
        <f t="shared" si="4"/>
        <v>473705</v>
      </c>
      <c r="L48" s="12">
        <f t="shared" si="4"/>
        <v>473705</v>
      </c>
      <c r="M48" s="10" t="s">
        <v>21</v>
      </c>
      <c r="N48" s="13" t="s">
        <v>114</v>
      </c>
      <c r="O48" s="13" t="s">
        <v>21</v>
      </c>
      <c r="P48" s="13" t="s">
        <v>102</v>
      </c>
      <c r="Q48" s="13" t="s">
        <v>21</v>
      </c>
      <c r="R48" s="14">
        <v>4</v>
      </c>
      <c r="S48" s="13" t="s">
        <v>21</v>
      </c>
      <c r="T48" s="15"/>
    </row>
    <row r="49" spans="1:20" ht="30" customHeight="1" x14ac:dyDescent="0.3">
      <c r="A49" s="10" t="s">
        <v>115</v>
      </c>
      <c r="B49" s="10" t="s">
        <v>21</v>
      </c>
      <c r="C49" s="10" t="s">
        <v>21</v>
      </c>
      <c r="D49" s="11">
        <v>1</v>
      </c>
      <c r="E49" s="12">
        <f>[1]공종별내역서!F1108</f>
        <v>191878</v>
      </c>
      <c r="F49" s="12">
        <f t="shared" si="0"/>
        <v>191878</v>
      </c>
      <c r="G49" s="12">
        <f>[1]공종별내역서!H1108</f>
        <v>286044</v>
      </c>
      <c r="H49" s="12">
        <f t="shared" si="1"/>
        <v>286044</v>
      </c>
      <c r="I49" s="12">
        <f>[1]공종별내역서!J1108</f>
        <v>262995</v>
      </c>
      <c r="J49" s="12">
        <f t="shared" si="2"/>
        <v>262995</v>
      </c>
      <c r="K49" s="12">
        <f t="shared" si="4"/>
        <v>740917</v>
      </c>
      <c r="L49" s="12">
        <f t="shared" si="4"/>
        <v>740917</v>
      </c>
      <c r="M49" s="10" t="s">
        <v>21</v>
      </c>
      <c r="N49" s="13" t="s">
        <v>116</v>
      </c>
      <c r="O49" s="13" t="s">
        <v>21</v>
      </c>
      <c r="P49" s="13" t="s">
        <v>102</v>
      </c>
      <c r="Q49" s="13" t="s">
        <v>21</v>
      </c>
      <c r="R49" s="14">
        <v>4</v>
      </c>
      <c r="S49" s="13" t="s">
        <v>21</v>
      </c>
      <c r="T49" s="15"/>
    </row>
    <row r="50" spans="1:20" ht="30" customHeight="1" x14ac:dyDescent="0.3">
      <c r="A50" s="10" t="s">
        <v>117</v>
      </c>
      <c r="B50" s="10" t="s">
        <v>21</v>
      </c>
      <c r="C50" s="10" t="s">
        <v>21</v>
      </c>
      <c r="D50" s="11">
        <v>1</v>
      </c>
      <c r="E50" s="12">
        <f>F51+F52+F53+F54+F55</f>
        <v>1792323</v>
      </c>
      <c r="F50" s="12">
        <f t="shared" si="0"/>
        <v>1792323</v>
      </c>
      <c r="G50" s="12">
        <f>H51+H52+H53+H54+H55</f>
        <v>5395550</v>
      </c>
      <c r="H50" s="12">
        <f t="shared" si="1"/>
        <v>5395550</v>
      </c>
      <c r="I50" s="12">
        <f>J51+J52+J53+J54+J55</f>
        <v>671947</v>
      </c>
      <c r="J50" s="12">
        <f t="shared" si="2"/>
        <v>671947</v>
      </c>
      <c r="K50" s="12">
        <f t="shared" si="4"/>
        <v>7859820</v>
      </c>
      <c r="L50" s="12">
        <f t="shared" si="4"/>
        <v>7859820</v>
      </c>
      <c r="M50" s="10" t="s">
        <v>21</v>
      </c>
      <c r="N50" s="13" t="s">
        <v>118</v>
      </c>
      <c r="O50" s="13" t="s">
        <v>21</v>
      </c>
      <c r="P50" s="13" t="s">
        <v>100</v>
      </c>
      <c r="Q50" s="13" t="s">
        <v>21</v>
      </c>
      <c r="R50" s="14">
        <v>3</v>
      </c>
      <c r="S50" s="13" t="s">
        <v>21</v>
      </c>
      <c r="T50" s="15"/>
    </row>
    <row r="51" spans="1:20" ht="30" customHeight="1" x14ac:dyDescent="0.3">
      <c r="A51" s="10" t="s">
        <v>119</v>
      </c>
      <c r="B51" s="10" t="s">
        <v>21</v>
      </c>
      <c r="C51" s="10" t="s">
        <v>21</v>
      </c>
      <c r="D51" s="11">
        <v>1</v>
      </c>
      <c r="E51" s="12">
        <f>[1]공종별내역서!F1131</f>
        <v>211840</v>
      </c>
      <c r="F51" s="12">
        <f t="shared" si="0"/>
        <v>211840</v>
      </c>
      <c r="G51" s="12">
        <f>[1]공종별내역서!H1131</f>
        <v>1395128</v>
      </c>
      <c r="H51" s="12">
        <f t="shared" si="1"/>
        <v>1395128</v>
      </c>
      <c r="I51" s="12">
        <f>[1]공종별내역서!J1131</f>
        <v>242912</v>
      </c>
      <c r="J51" s="12">
        <f t="shared" si="2"/>
        <v>242912</v>
      </c>
      <c r="K51" s="12">
        <f t="shared" si="4"/>
        <v>1849880</v>
      </c>
      <c r="L51" s="12">
        <f t="shared" si="4"/>
        <v>1849880</v>
      </c>
      <c r="M51" s="10" t="s">
        <v>21</v>
      </c>
      <c r="N51" s="13" t="s">
        <v>120</v>
      </c>
      <c r="O51" s="13" t="s">
        <v>21</v>
      </c>
      <c r="P51" s="13" t="s">
        <v>118</v>
      </c>
      <c r="Q51" s="13" t="s">
        <v>21</v>
      </c>
      <c r="R51" s="14">
        <v>4</v>
      </c>
      <c r="S51" s="13" t="s">
        <v>21</v>
      </c>
      <c r="T51" s="15"/>
    </row>
    <row r="52" spans="1:20" ht="30" customHeight="1" x14ac:dyDescent="0.3">
      <c r="A52" s="10" t="s">
        <v>121</v>
      </c>
      <c r="B52" s="10" t="s">
        <v>21</v>
      </c>
      <c r="C52" s="10" t="s">
        <v>21</v>
      </c>
      <c r="D52" s="11">
        <v>1</v>
      </c>
      <c r="E52" s="12">
        <f>[1]공종별내역서!F1154</f>
        <v>36409</v>
      </c>
      <c r="F52" s="12">
        <f t="shared" si="0"/>
        <v>36409</v>
      </c>
      <c r="G52" s="12">
        <f>[1]공종별내역서!H1154</f>
        <v>603212</v>
      </c>
      <c r="H52" s="12">
        <f t="shared" si="1"/>
        <v>603212</v>
      </c>
      <c r="I52" s="12">
        <f>[1]공종별내역서!J1154</f>
        <v>150259</v>
      </c>
      <c r="J52" s="12">
        <f t="shared" si="2"/>
        <v>150259</v>
      </c>
      <c r="K52" s="12">
        <f t="shared" si="4"/>
        <v>789880</v>
      </c>
      <c r="L52" s="12">
        <f t="shared" si="4"/>
        <v>789880</v>
      </c>
      <c r="M52" s="10" t="s">
        <v>21</v>
      </c>
      <c r="N52" s="13" t="s">
        <v>122</v>
      </c>
      <c r="O52" s="13" t="s">
        <v>21</v>
      </c>
      <c r="P52" s="13" t="s">
        <v>118</v>
      </c>
      <c r="Q52" s="13" t="s">
        <v>21</v>
      </c>
      <c r="R52" s="14">
        <v>4</v>
      </c>
      <c r="S52" s="13" t="s">
        <v>21</v>
      </c>
      <c r="T52" s="15"/>
    </row>
    <row r="53" spans="1:20" ht="30" customHeight="1" x14ac:dyDescent="0.3">
      <c r="A53" s="10" t="s">
        <v>123</v>
      </c>
      <c r="B53" s="10" t="s">
        <v>21</v>
      </c>
      <c r="C53" s="10" t="s">
        <v>21</v>
      </c>
      <c r="D53" s="11">
        <v>1</v>
      </c>
      <c r="E53" s="12">
        <f>[1]공종별내역서!F1177</f>
        <v>899887</v>
      </c>
      <c r="F53" s="12">
        <f t="shared" si="0"/>
        <v>899887</v>
      </c>
      <c r="G53" s="12">
        <f>[1]공종별내역서!H1177</f>
        <v>1722257</v>
      </c>
      <c r="H53" s="12">
        <f t="shared" si="1"/>
        <v>1722257</v>
      </c>
      <c r="I53" s="12">
        <f>[1]공종별내역서!J1177</f>
        <v>19340</v>
      </c>
      <c r="J53" s="12">
        <f t="shared" si="2"/>
        <v>19340</v>
      </c>
      <c r="K53" s="12">
        <f t="shared" si="4"/>
        <v>2641484</v>
      </c>
      <c r="L53" s="12">
        <f t="shared" si="4"/>
        <v>2641484</v>
      </c>
      <c r="M53" s="10" t="s">
        <v>21</v>
      </c>
      <c r="N53" s="13" t="s">
        <v>124</v>
      </c>
      <c r="O53" s="13" t="s">
        <v>21</v>
      </c>
      <c r="P53" s="13" t="s">
        <v>118</v>
      </c>
      <c r="Q53" s="13" t="s">
        <v>21</v>
      </c>
      <c r="R53" s="14">
        <v>4</v>
      </c>
      <c r="S53" s="13" t="s">
        <v>21</v>
      </c>
      <c r="T53" s="15"/>
    </row>
    <row r="54" spans="1:20" ht="30" customHeight="1" x14ac:dyDescent="0.3">
      <c r="A54" s="10" t="s">
        <v>125</v>
      </c>
      <c r="B54" s="10" t="s">
        <v>21</v>
      </c>
      <c r="C54" s="10" t="s">
        <v>21</v>
      </c>
      <c r="D54" s="11">
        <v>1</v>
      </c>
      <c r="E54" s="12">
        <f>[1]공종별내역서!F1200</f>
        <v>192976</v>
      </c>
      <c r="F54" s="12">
        <f t="shared" si="0"/>
        <v>192976</v>
      </c>
      <c r="G54" s="12">
        <f>[1]공종별내역서!H1200</f>
        <v>756608</v>
      </c>
      <c r="H54" s="12">
        <f t="shared" si="1"/>
        <v>756608</v>
      </c>
      <c r="I54" s="12">
        <f>[1]공종별내역서!J1200</f>
        <v>254980</v>
      </c>
      <c r="J54" s="12">
        <f t="shared" si="2"/>
        <v>254980</v>
      </c>
      <c r="K54" s="12">
        <f t="shared" si="4"/>
        <v>1204564</v>
      </c>
      <c r="L54" s="12">
        <f t="shared" si="4"/>
        <v>1204564</v>
      </c>
      <c r="M54" s="10" t="s">
        <v>21</v>
      </c>
      <c r="N54" s="13" t="s">
        <v>126</v>
      </c>
      <c r="O54" s="13" t="s">
        <v>21</v>
      </c>
      <c r="P54" s="13" t="s">
        <v>118</v>
      </c>
      <c r="Q54" s="13" t="s">
        <v>21</v>
      </c>
      <c r="R54" s="14">
        <v>4</v>
      </c>
      <c r="S54" s="13" t="s">
        <v>21</v>
      </c>
      <c r="T54" s="15"/>
    </row>
    <row r="55" spans="1:20" ht="30" customHeight="1" x14ac:dyDescent="0.3">
      <c r="A55" s="10" t="s">
        <v>127</v>
      </c>
      <c r="B55" s="10" t="s">
        <v>21</v>
      </c>
      <c r="C55" s="10" t="s">
        <v>21</v>
      </c>
      <c r="D55" s="11">
        <v>1</v>
      </c>
      <c r="E55" s="12">
        <f>[1]공종별내역서!F1223</f>
        <v>451211</v>
      </c>
      <c r="F55" s="12">
        <f t="shared" si="0"/>
        <v>451211</v>
      </c>
      <c r="G55" s="12">
        <f>[1]공종별내역서!H1223</f>
        <v>918345</v>
      </c>
      <c r="H55" s="12">
        <f t="shared" si="1"/>
        <v>918345</v>
      </c>
      <c r="I55" s="12">
        <f>[1]공종별내역서!J1223</f>
        <v>4456</v>
      </c>
      <c r="J55" s="12">
        <f t="shared" si="2"/>
        <v>4456</v>
      </c>
      <c r="K55" s="12">
        <f t="shared" si="4"/>
        <v>1374012</v>
      </c>
      <c r="L55" s="12">
        <f t="shared" si="4"/>
        <v>1374012</v>
      </c>
      <c r="M55" s="10" t="s">
        <v>21</v>
      </c>
      <c r="N55" s="13" t="s">
        <v>128</v>
      </c>
      <c r="O55" s="13" t="s">
        <v>21</v>
      </c>
      <c r="P55" s="13" t="s">
        <v>118</v>
      </c>
      <c r="Q55" s="13" t="s">
        <v>21</v>
      </c>
      <c r="R55" s="14">
        <v>4</v>
      </c>
      <c r="S55" s="13" t="s">
        <v>21</v>
      </c>
      <c r="T55" s="15"/>
    </row>
    <row r="56" spans="1:20" ht="30" customHeight="1" x14ac:dyDescent="0.3">
      <c r="A56" s="10" t="s">
        <v>129</v>
      </c>
      <c r="B56" s="10" t="s">
        <v>21</v>
      </c>
      <c r="C56" s="10" t="s">
        <v>21</v>
      </c>
      <c r="D56" s="11">
        <v>1</v>
      </c>
      <c r="E56" s="12">
        <f>F57+F58+F59</f>
        <v>11916</v>
      </c>
      <c r="F56" s="12">
        <f t="shared" si="0"/>
        <v>11916</v>
      </c>
      <c r="G56" s="12">
        <f>H57+H58+H59</f>
        <v>142272</v>
      </c>
      <c r="H56" s="12">
        <f t="shared" si="1"/>
        <v>142272</v>
      </c>
      <c r="I56" s="12">
        <f>J57+J58+J59</f>
        <v>12528</v>
      </c>
      <c r="J56" s="12">
        <f t="shared" si="2"/>
        <v>12528</v>
      </c>
      <c r="K56" s="12">
        <f t="shared" si="4"/>
        <v>166716</v>
      </c>
      <c r="L56" s="12">
        <f t="shared" si="4"/>
        <v>166716</v>
      </c>
      <c r="M56" s="10" t="s">
        <v>21</v>
      </c>
      <c r="N56" s="13" t="s">
        <v>130</v>
      </c>
      <c r="O56" s="13" t="s">
        <v>21</v>
      </c>
      <c r="P56" s="13" t="s">
        <v>100</v>
      </c>
      <c r="Q56" s="13" t="s">
        <v>21</v>
      </c>
      <c r="R56" s="14">
        <v>3</v>
      </c>
      <c r="S56" s="13" t="s">
        <v>21</v>
      </c>
      <c r="T56" s="15"/>
    </row>
    <row r="57" spans="1:20" ht="30" customHeight="1" x14ac:dyDescent="0.3">
      <c r="A57" s="10" t="s">
        <v>131</v>
      </c>
      <c r="B57" s="10" t="s">
        <v>21</v>
      </c>
      <c r="C57" s="10" t="s">
        <v>21</v>
      </c>
      <c r="D57" s="11">
        <v>1</v>
      </c>
      <c r="E57" s="12">
        <f>[1]공종별내역서!F1246</f>
        <v>10660</v>
      </c>
      <c r="F57" s="12">
        <f t="shared" si="0"/>
        <v>10660</v>
      </c>
      <c r="G57" s="12">
        <f>[1]공종별내역서!H1246</f>
        <v>60292</v>
      </c>
      <c r="H57" s="12">
        <f t="shared" si="1"/>
        <v>60292</v>
      </c>
      <c r="I57" s="12">
        <f>[1]공종별내역서!J1246</f>
        <v>12072</v>
      </c>
      <c r="J57" s="12">
        <f t="shared" si="2"/>
        <v>12072</v>
      </c>
      <c r="K57" s="12">
        <f t="shared" si="4"/>
        <v>83024</v>
      </c>
      <c r="L57" s="12">
        <f t="shared" si="4"/>
        <v>83024</v>
      </c>
      <c r="M57" s="10" t="s">
        <v>21</v>
      </c>
      <c r="N57" s="13" t="s">
        <v>132</v>
      </c>
      <c r="O57" s="13" t="s">
        <v>21</v>
      </c>
      <c r="P57" s="13" t="s">
        <v>130</v>
      </c>
      <c r="Q57" s="13" t="s">
        <v>21</v>
      </c>
      <c r="R57" s="14">
        <v>4</v>
      </c>
      <c r="S57" s="13" t="s">
        <v>21</v>
      </c>
      <c r="T57" s="15"/>
    </row>
    <row r="58" spans="1:20" ht="30" customHeight="1" x14ac:dyDescent="0.3">
      <c r="A58" s="10" t="s">
        <v>133</v>
      </c>
      <c r="B58" s="10" t="s">
        <v>21</v>
      </c>
      <c r="C58" s="10" t="s">
        <v>21</v>
      </c>
      <c r="D58" s="11">
        <v>1</v>
      </c>
      <c r="E58" s="12">
        <f>[1]공종별내역서!F1269</f>
        <v>0</v>
      </c>
      <c r="F58" s="12">
        <f t="shared" si="0"/>
        <v>0</v>
      </c>
      <c r="G58" s="12">
        <f>[1]공종별내역서!H1269</f>
        <v>24498</v>
      </c>
      <c r="H58" s="12">
        <f t="shared" si="1"/>
        <v>24498</v>
      </c>
      <c r="I58" s="12">
        <f>[1]공종별내역서!J1269</f>
        <v>0</v>
      </c>
      <c r="J58" s="12">
        <f t="shared" si="2"/>
        <v>0</v>
      </c>
      <c r="K58" s="12">
        <f t="shared" si="4"/>
        <v>24498</v>
      </c>
      <c r="L58" s="12">
        <f t="shared" si="4"/>
        <v>24498</v>
      </c>
      <c r="M58" s="10" t="s">
        <v>21</v>
      </c>
      <c r="N58" s="13" t="s">
        <v>134</v>
      </c>
      <c r="O58" s="13" t="s">
        <v>21</v>
      </c>
      <c r="P58" s="13" t="s">
        <v>130</v>
      </c>
      <c r="Q58" s="13" t="s">
        <v>21</v>
      </c>
      <c r="R58" s="14">
        <v>4</v>
      </c>
      <c r="S58" s="13" t="s">
        <v>21</v>
      </c>
      <c r="T58" s="15"/>
    </row>
    <row r="59" spans="1:20" ht="30" customHeight="1" x14ac:dyDescent="0.3">
      <c r="A59" s="10" t="s">
        <v>135</v>
      </c>
      <c r="B59" s="10" t="s">
        <v>21</v>
      </c>
      <c r="C59" s="10" t="s">
        <v>21</v>
      </c>
      <c r="D59" s="11">
        <v>1</v>
      </c>
      <c r="E59" s="12">
        <f>[1]공종별내역서!F1292</f>
        <v>1256</v>
      </c>
      <c r="F59" s="12">
        <f t="shared" si="0"/>
        <v>1256</v>
      </c>
      <c r="G59" s="12">
        <f>[1]공종별내역서!H1292</f>
        <v>57482</v>
      </c>
      <c r="H59" s="12">
        <f t="shared" si="1"/>
        <v>57482</v>
      </c>
      <c r="I59" s="12">
        <f>[1]공종별내역서!J1292</f>
        <v>456</v>
      </c>
      <c r="J59" s="12">
        <f t="shared" si="2"/>
        <v>456</v>
      </c>
      <c r="K59" s="12">
        <f t="shared" si="4"/>
        <v>59194</v>
      </c>
      <c r="L59" s="12">
        <f t="shared" si="4"/>
        <v>59194</v>
      </c>
      <c r="M59" s="10" t="s">
        <v>21</v>
      </c>
      <c r="N59" s="13" t="s">
        <v>136</v>
      </c>
      <c r="O59" s="13" t="s">
        <v>21</v>
      </c>
      <c r="P59" s="13" t="s">
        <v>130</v>
      </c>
      <c r="Q59" s="13" t="s">
        <v>21</v>
      </c>
      <c r="R59" s="14">
        <v>4</v>
      </c>
      <c r="S59" s="13" t="s">
        <v>21</v>
      </c>
      <c r="T59" s="15"/>
    </row>
    <row r="60" spans="1:20" ht="30" customHeight="1" x14ac:dyDescent="0.3">
      <c r="A60" s="10" t="s">
        <v>137</v>
      </c>
      <c r="B60" s="10" t="s">
        <v>21</v>
      </c>
      <c r="C60" s="10" t="s">
        <v>21</v>
      </c>
      <c r="D60" s="11">
        <v>1</v>
      </c>
      <c r="E60" s="12">
        <f>F61+F62</f>
        <v>591533</v>
      </c>
      <c r="F60" s="12">
        <f t="shared" si="0"/>
        <v>591533</v>
      </c>
      <c r="G60" s="12">
        <f>H61+H62</f>
        <v>2036889</v>
      </c>
      <c r="H60" s="12">
        <f t="shared" si="1"/>
        <v>2036889</v>
      </c>
      <c r="I60" s="12">
        <f>J61+J62</f>
        <v>28832</v>
      </c>
      <c r="J60" s="12">
        <f t="shared" si="2"/>
        <v>28832</v>
      </c>
      <c r="K60" s="12">
        <f t="shared" si="4"/>
        <v>2657254</v>
      </c>
      <c r="L60" s="12">
        <f t="shared" si="4"/>
        <v>2657254</v>
      </c>
      <c r="M60" s="10" t="s">
        <v>21</v>
      </c>
      <c r="N60" s="13" t="s">
        <v>138</v>
      </c>
      <c r="O60" s="13" t="s">
        <v>21</v>
      </c>
      <c r="P60" s="13" t="s">
        <v>100</v>
      </c>
      <c r="Q60" s="13" t="s">
        <v>21</v>
      </c>
      <c r="R60" s="14">
        <v>3</v>
      </c>
      <c r="S60" s="13" t="s">
        <v>21</v>
      </c>
      <c r="T60" s="15"/>
    </row>
    <row r="61" spans="1:20" ht="30" customHeight="1" x14ac:dyDescent="0.3">
      <c r="A61" s="10" t="s">
        <v>139</v>
      </c>
      <c r="B61" s="10" t="s">
        <v>21</v>
      </c>
      <c r="C61" s="10" t="s">
        <v>21</v>
      </c>
      <c r="D61" s="11">
        <v>1</v>
      </c>
      <c r="E61" s="12">
        <f>[1]공종별내역서!F1315</f>
        <v>0</v>
      </c>
      <c r="F61" s="12">
        <f t="shared" si="0"/>
        <v>0</v>
      </c>
      <c r="G61" s="12">
        <f>[1]공종별내역서!H1315</f>
        <v>594282</v>
      </c>
      <c r="H61" s="12">
        <f t="shared" si="1"/>
        <v>594282</v>
      </c>
      <c r="I61" s="12">
        <f>[1]공종별내역서!J1315</f>
        <v>0</v>
      </c>
      <c r="J61" s="12">
        <f t="shared" si="2"/>
        <v>0</v>
      </c>
      <c r="K61" s="12">
        <f t="shared" si="4"/>
        <v>594282</v>
      </c>
      <c r="L61" s="12">
        <f t="shared" si="4"/>
        <v>594282</v>
      </c>
      <c r="M61" s="10" t="s">
        <v>21</v>
      </c>
      <c r="N61" s="13" t="s">
        <v>140</v>
      </c>
      <c r="O61" s="13" t="s">
        <v>21</v>
      </c>
      <c r="P61" s="13" t="s">
        <v>138</v>
      </c>
      <c r="Q61" s="13" t="s">
        <v>21</v>
      </c>
      <c r="R61" s="14">
        <v>4</v>
      </c>
      <c r="S61" s="13" t="s">
        <v>21</v>
      </c>
      <c r="T61" s="15"/>
    </row>
    <row r="62" spans="1:20" ht="30" customHeight="1" x14ac:dyDescent="0.3">
      <c r="A62" s="10" t="s">
        <v>141</v>
      </c>
      <c r="B62" s="10" t="s">
        <v>21</v>
      </c>
      <c r="C62" s="10" t="s">
        <v>21</v>
      </c>
      <c r="D62" s="11">
        <v>1</v>
      </c>
      <c r="E62" s="12">
        <f>[1]공종별내역서!F1338</f>
        <v>591533</v>
      </c>
      <c r="F62" s="12">
        <f t="shared" si="0"/>
        <v>591533</v>
      </c>
      <c r="G62" s="12">
        <f>[1]공종별내역서!H1338</f>
        <v>1442607</v>
      </c>
      <c r="H62" s="12">
        <f t="shared" si="1"/>
        <v>1442607</v>
      </c>
      <c r="I62" s="12">
        <f>[1]공종별내역서!J1338</f>
        <v>28832</v>
      </c>
      <c r="J62" s="12">
        <f t="shared" si="2"/>
        <v>28832</v>
      </c>
      <c r="K62" s="12">
        <f t="shared" si="4"/>
        <v>2062972</v>
      </c>
      <c r="L62" s="12">
        <f t="shared" si="4"/>
        <v>2062972</v>
      </c>
      <c r="M62" s="10" t="s">
        <v>21</v>
      </c>
      <c r="N62" s="13" t="s">
        <v>142</v>
      </c>
      <c r="O62" s="13" t="s">
        <v>21</v>
      </c>
      <c r="P62" s="13" t="s">
        <v>138</v>
      </c>
      <c r="Q62" s="13" t="s">
        <v>21</v>
      </c>
      <c r="R62" s="14">
        <v>4</v>
      </c>
      <c r="S62" s="13" t="s">
        <v>21</v>
      </c>
      <c r="T62" s="15"/>
    </row>
    <row r="63" spans="1:20" ht="30" customHeight="1" x14ac:dyDescent="0.3">
      <c r="A63" s="10" t="s">
        <v>143</v>
      </c>
      <c r="B63" s="10" t="s">
        <v>21</v>
      </c>
      <c r="C63" s="10" t="s">
        <v>21</v>
      </c>
      <c r="D63" s="11">
        <v>1</v>
      </c>
      <c r="E63" s="12">
        <f>F64+F65+F66</f>
        <v>2299032</v>
      </c>
      <c r="F63" s="12">
        <f t="shared" si="0"/>
        <v>2299032</v>
      </c>
      <c r="G63" s="12">
        <f>H64+H65+H66</f>
        <v>4495188</v>
      </c>
      <c r="H63" s="12">
        <f t="shared" si="1"/>
        <v>4495188</v>
      </c>
      <c r="I63" s="12">
        <f>J64+J65+J66</f>
        <v>1326662</v>
      </c>
      <c r="J63" s="12">
        <f t="shared" si="2"/>
        <v>1326662</v>
      </c>
      <c r="K63" s="12">
        <f t="shared" si="4"/>
        <v>8120882</v>
      </c>
      <c r="L63" s="12">
        <f t="shared" si="4"/>
        <v>8120882</v>
      </c>
      <c r="M63" s="10" t="s">
        <v>21</v>
      </c>
      <c r="N63" s="13" t="s">
        <v>144</v>
      </c>
      <c r="O63" s="13" t="s">
        <v>21</v>
      </c>
      <c r="P63" s="13" t="s">
        <v>100</v>
      </c>
      <c r="Q63" s="13" t="s">
        <v>21</v>
      </c>
      <c r="R63" s="14">
        <v>3</v>
      </c>
      <c r="S63" s="13" t="s">
        <v>21</v>
      </c>
      <c r="T63" s="15"/>
    </row>
    <row r="64" spans="1:20" ht="30" customHeight="1" x14ac:dyDescent="0.3">
      <c r="A64" s="10" t="s">
        <v>145</v>
      </c>
      <c r="B64" s="10" t="s">
        <v>21</v>
      </c>
      <c r="C64" s="10" t="s">
        <v>21</v>
      </c>
      <c r="D64" s="11">
        <v>1</v>
      </c>
      <c r="E64" s="12">
        <f>[1]공종별내역서!F1361</f>
        <v>454594</v>
      </c>
      <c r="F64" s="12">
        <f t="shared" si="0"/>
        <v>454594</v>
      </c>
      <c r="G64" s="12">
        <f>[1]공종별내역서!H1361</f>
        <v>1562946</v>
      </c>
      <c r="H64" s="12">
        <f t="shared" si="1"/>
        <v>1562946</v>
      </c>
      <c r="I64" s="12">
        <f>[1]공종별내역서!J1361</f>
        <v>673834</v>
      </c>
      <c r="J64" s="12">
        <f t="shared" si="2"/>
        <v>673834</v>
      </c>
      <c r="K64" s="12">
        <f t="shared" si="4"/>
        <v>2691374</v>
      </c>
      <c r="L64" s="12">
        <f t="shared" si="4"/>
        <v>2691374</v>
      </c>
      <c r="M64" s="10" t="s">
        <v>21</v>
      </c>
      <c r="N64" s="13" t="s">
        <v>146</v>
      </c>
      <c r="O64" s="13" t="s">
        <v>21</v>
      </c>
      <c r="P64" s="13" t="s">
        <v>144</v>
      </c>
      <c r="Q64" s="13" t="s">
        <v>21</v>
      </c>
      <c r="R64" s="14">
        <v>4</v>
      </c>
      <c r="S64" s="13" t="s">
        <v>21</v>
      </c>
      <c r="T64" s="15"/>
    </row>
    <row r="65" spans="1:20" ht="30" customHeight="1" x14ac:dyDescent="0.3">
      <c r="A65" s="10" t="s">
        <v>147</v>
      </c>
      <c r="B65" s="10" t="s">
        <v>21</v>
      </c>
      <c r="C65" s="10" t="s">
        <v>21</v>
      </c>
      <c r="D65" s="11">
        <v>1</v>
      </c>
      <c r="E65" s="12">
        <f>[1]공종별내역서!F1384</f>
        <v>695150</v>
      </c>
      <c r="F65" s="12">
        <f t="shared" si="0"/>
        <v>695150</v>
      </c>
      <c r="G65" s="12">
        <f>[1]공종별내역서!H1384</f>
        <v>1025581</v>
      </c>
      <c r="H65" s="12">
        <f t="shared" si="1"/>
        <v>1025581</v>
      </c>
      <c r="I65" s="12">
        <f>[1]공종별내역서!J1384</f>
        <v>236873</v>
      </c>
      <c r="J65" s="12">
        <f t="shared" si="2"/>
        <v>236873</v>
      </c>
      <c r="K65" s="12">
        <f t="shared" si="4"/>
        <v>1957604</v>
      </c>
      <c r="L65" s="12">
        <f t="shared" si="4"/>
        <v>1957604</v>
      </c>
      <c r="M65" s="10" t="s">
        <v>21</v>
      </c>
      <c r="N65" s="13" t="s">
        <v>148</v>
      </c>
      <c r="O65" s="13" t="s">
        <v>21</v>
      </c>
      <c r="P65" s="13" t="s">
        <v>144</v>
      </c>
      <c r="Q65" s="13" t="s">
        <v>21</v>
      </c>
      <c r="R65" s="14">
        <v>4</v>
      </c>
      <c r="S65" s="13" t="s">
        <v>21</v>
      </c>
      <c r="T65" s="15"/>
    </row>
    <row r="66" spans="1:20" ht="30" customHeight="1" x14ac:dyDescent="0.3">
      <c r="A66" s="10" t="s">
        <v>149</v>
      </c>
      <c r="B66" s="10" t="s">
        <v>21</v>
      </c>
      <c r="C66" s="10" t="s">
        <v>21</v>
      </c>
      <c r="D66" s="11">
        <v>1</v>
      </c>
      <c r="E66" s="12">
        <f>[1]공종별내역서!F1407</f>
        <v>1149288</v>
      </c>
      <c r="F66" s="12">
        <f t="shared" si="0"/>
        <v>1149288</v>
      </c>
      <c r="G66" s="12">
        <f>[1]공종별내역서!H1407</f>
        <v>1906661</v>
      </c>
      <c r="H66" s="12">
        <f t="shared" si="1"/>
        <v>1906661</v>
      </c>
      <c r="I66" s="12">
        <f>[1]공종별내역서!J1407</f>
        <v>415955</v>
      </c>
      <c r="J66" s="12">
        <f t="shared" si="2"/>
        <v>415955</v>
      </c>
      <c r="K66" s="12">
        <f t="shared" si="4"/>
        <v>3471904</v>
      </c>
      <c r="L66" s="12">
        <f t="shared" si="4"/>
        <v>3471904</v>
      </c>
      <c r="M66" s="10" t="s">
        <v>21</v>
      </c>
      <c r="N66" s="13" t="s">
        <v>150</v>
      </c>
      <c r="O66" s="13" t="s">
        <v>21</v>
      </c>
      <c r="P66" s="13" t="s">
        <v>144</v>
      </c>
      <c r="Q66" s="13" t="s">
        <v>21</v>
      </c>
      <c r="R66" s="14">
        <v>4</v>
      </c>
      <c r="S66" s="13" t="s">
        <v>21</v>
      </c>
      <c r="T66" s="15"/>
    </row>
    <row r="67" spans="1:20" ht="30" customHeight="1" x14ac:dyDescent="0.3">
      <c r="A67" s="10" t="s">
        <v>151</v>
      </c>
      <c r="B67" s="10" t="s">
        <v>21</v>
      </c>
      <c r="C67" s="10" t="s">
        <v>21</v>
      </c>
      <c r="D67" s="11">
        <v>1</v>
      </c>
      <c r="E67" s="12">
        <f>F68+F69+F70</f>
        <v>75171</v>
      </c>
      <c r="F67" s="12">
        <f t="shared" si="0"/>
        <v>75171</v>
      </c>
      <c r="G67" s="12">
        <f>H68+H69+H70</f>
        <v>139513</v>
      </c>
      <c r="H67" s="12">
        <f t="shared" si="1"/>
        <v>139513</v>
      </c>
      <c r="I67" s="12">
        <f>J68+J69+J70</f>
        <v>6111</v>
      </c>
      <c r="J67" s="12">
        <f t="shared" si="2"/>
        <v>6111</v>
      </c>
      <c r="K67" s="12">
        <f t="shared" si="4"/>
        <v>220795</v>
      </c>
      <c r="L67" s="12">
        <f t="shared" si="4"/>
        <v>220795</v>
      </c>
      <c r="M67" s="10" t="s">
        <v>21</v>
      </c>
      <c r="N67" s="13" t="s">
        <v>152</v>
      </c>
      <c r="O67" s="13" t="s">
        <v>21</v>
      </c>
      <c r="P67" s="13" t="s">
        <v>100</v>
      </c>
      <c r="Q67" s="13" t="s">
        <v>21</v>
      </c>
      <c r="R67" s="14">
        <v>3</v>
      </c>
      <c r="S67" s="13" t="s">
        <v>21</v>
      </c>
      <c r="T67" s="15"/>
    </row>
    <row r="68" spans="1:20" ht="30" customHeight="1" x14ac:dyDescent="0.3">
      <c r="A68" s="10" t="s">
        <v>153</v>
      </c>
      <c r="B68" s="10" t="s">
        <v>21</v>
      </c>
      <c r="C68" s="10" t="s">
        <v>21</v>
      </c>
      <c r="D68" s="11">
        <v>1</v>
      </c>
      <c r="E68" s="12">
        <f>[1]공종별내역서!F1430</f>
        <v>71421</v>
      </c>
      <c r="F68" s="12">
        <f t="shared" si="0"/>
        <v>71421</v>
      </c>
      <c r="G68" s="12">
        <f>[1]공종별내역서!H1430</f>
        <v>64638</v>
      </c>
      <c r="H68" s="12">
        <f t="shared" si="1"/>
        <v>64638</v>
      </c>
      <c r="I68" s="12">
        <f>[1]공종별내역서!J1430</f>
        <v>6111</v>
      </c>
      <c r="J68" s="12">
        <f t="shared" si="2"/>
        <v>6111</v>
      </c>
      <c r="K68" s="12">
        <f t="shared" si="4"/>
        <v>142170</v>
      </c>
      <c r="L68" s="12">
        <f t="shared" si="4"/>
        <v>142170</v>
      </c>
      <c r="M68" s="10" t="s">
        <v>21</v>
      </c>
      <c r="N68" s="13" t="s">
        <v>154</v>
      </c>
      <c r="O68" s="13" t="s">
        <v>21</v>
      </c>
      <c r="P68" s="13" t="s">
        <v>152</v>
      </c>
      <c r="Q68" s="13" t="s">
        <v>21</v>
      </c>
      <c r="R68" s="14">
        <v>4</v>
      </c>
      <c r="S68" s="13" t="s">
        <v>21</v>
      </c>
      <c r="T68" s="15"/>
    </row>
    <row r="69" spans="1:20" ht="30" customHeight="1" x14ac:dyDescent="0.3">
      <c r="A69" s="10" t="s">
        <v>155</v>
      </c>
      <c r="B69" s="10" t="s">
        <v>21</v>
      </c>
      <c r="C69" s="10" t="s">
        <v>21</v>
      </c>
      <c r="D69" s="11">
        <v>1</v>
      </c>
      <c r="E69" s="12">
        <f>[1]공종별내역서!F1453</f>
        <v>3060</v>
      </c>
      <c r="F69" s="12">
        <f t="shared" ref="F69:F74" si="5">E69*D69</f>
        <v>3060</v>
      </c>
      <c r="G69" s="12">
        <f>[1]공종별내역서!H1453</f>
        <v>61120</v>
      </c>
      <c r="H69" s="12">
        <f t="shared" ref="H69:H74" si="6">G69*D69</f>
        <v>61120</v>
      </c>
      <c r="I69" s="12">
        <f>[1]공종별내역서!J1453</f>
        <v>0</v>
      </c>
      <c r="J69" s="12">
        <f t="shared" ref="J69:J74" si="7">I69*D69</f>
        <v>0</v>
      </c>
      <c r="K69" s="12">
        <f t="shared" ref="K69:L74" si="8">E69+G69+I69</f>
        <v>64180</v>
      </c>
      <c r="L69" s="12">
        <f t="shared" si="8"/>
        <v>64180</v>
      </c>
      <c r="M69" s="10" t="s">
        <v>21</v>
      </c>
      <c r="N69" s="13" t="s">
        <v>156</v>
      </c>
      <c r="O69" s="13" t="s">
        <v>21</v>
      </c>
      <c r="P69" s="13" t="s">
        <v>152</v>
      </c>
      <c r="Q69" s="13" t="s">
        <v>21</v>
      </c>
      <c r="R69" s="14">
        <v>4</v>
      </c>
      <c r="S69" s="13" t="s">
        <v>21</v>
      </c>
      <c r="T69" s="15"/>
    </row>
    <row r="70" spans="1:20" ht="30" customHeight="1" x14ac:dyDescent="0.3">
      <c r="A70" s="10" t="s">
        <v>157</v>
      </c>
      <c r="B70" s="10" t="s">
        <v>21</v>
      </c>
      <c r="C70" s="10" t="s">
        <v>21</v>
      </c>
      <c r="D70" s="11">
        <v>1</v>
      </c>
      <c r="E70" s="12">
        <f>[1]공종별내역서!F1476</f>
        <v>690</v>
      </c>
      <c r="F70" s="12">
        <f t="shared" si="5"/>
        <v>690</v>
      </c>
      <c r="G70" s="12">
        <f>[1]공종별내역서!H1476</f>
        <v>13755</v>
      </c>
      <c r="H70" s="12">
        <f t="shared" si="6"/>
        <v>13755</v>
      </c>
      <c r="I70" s="12">
        <f>[1]공종별내역서!J1476</f>
        <v>0</v>
      </c>
      <c r="J70" s="12">
        <f t="shared" si="7"/>
        <v>0</v>
      </c>
      <c r="K70" s="12">
        <f t="shared" si="8"/>
        <v>14445</v>
      </c>
      <c r="L70" s="12">
        <f t="shared" si="8"/>
        <v>14445</v>
      </c>
      <c r="M70" s="10" t="s">
        <v>21</v>
      </c>
      <c r="N70" s="13" t="s">
        <v>158</v>
      </c>
      <c r="O70" s="13" t="s">
        <v>21</v>
      </c>
      <c r="P70" s="13" t="s">
        <v>152</v>
      </c>
      <c r="Q70" s="13" t="s">
        <v>21</v>
      </c>
      <c r="R70" s="14">
        <v>4</v>
      </c>
      <c r="S70" s="13" t="s">
        <v>21</v>
      </c>
      <c r="T70" s="15"/>
    </row>
    <row r="71" spans="1:20" ht="30" customHeight="1" x14ac:dyDescent="0.3">
      <c r="A71" s="10" t="s">
        <v>159</v>
      </c>
      <c r="B71" s="10" t="s">
        <v>21</v>
      </c>
      <c r="C71" s="10" t="s">
        <v>21</v>
      </c>
      <c r="D71" s="11">
        <v>1</v>
      </c>
      <c r="E71" s="12">
        <f>F72</f>
        <v>255610</v>
      </c>
      <c r="F71" s="12">
        <f t="shared" si="5"/>
        <v>255610</v>
      </c>
      <c r="G71" s="12">
        <f>H72</f>
        <v>273434</v>
      </c>
      <c r="H71" s="12">
        <f t="shared" si="6"/>
        <v>273434</v>
      </c>
      <c r="I71" s="12">
        <f>J72</f>
        <v>0</v>
      </c>
      <c r="J71" s="12">
        <f t="shared" si="7"/>
        <v>0</v>
      </c>
      <c r="K71" s="12">
        <f t="shared" si="8"/>
        <v>529044</v>
      </c>
      <c r="L71" s="12">
        <f t="shared" si="8"/>
        <v>529044</v>
      </c>
      <c r="M71" s="10" t="s">
        <v>21</v>
      </c>
      <c r="N71" s="13" t="s">
        <v>160</v>
      </c>
      <c r="O71" s="13" t="s">
        <v>21</v>
      </c>
      <c r="P71" s="13" t="s">
        <v>100</v>
      </c>
      <c r="Q71" s="13" t="s">
        <v>21</v>
      </c>
      <c r="R71" s="14">
        <v>3</v>
      </c>
      <c r="S71" s="13" t="s">
        <v>21</v>
      </c>
      <c r="T71" s="15"/>
    </row>
    <row r="72" spans="1:20" ht="30" customHeight="1" x14ac:dyDescent="0.3">
      <c r="A72" s="10" t="s">
        <v>161</v>
      </c>
      <c r="B72" s="10" t="s">
        <v>21</v>
      </c>
      <c r="C72" s="10" t="s">
        <v>21</v>
      </c>
      <c r="D72" s="11">
        <v>1</v>
      </c>
      <c r="E72" s="12">
        <f>[1]공종별내역서!F1499</f>
        <v>255610</v>
      </c>
      <c r="F72" s="12">
        <f t="shared" si="5"/>
        <v>255610</v>
      </c>
      <c r="G72" s="12">
        <f>[1]공종별내역서!H1499</f>
        <v>273434</v>
      </c>
      <c r="H72" s="12">
        <f t="shared" si="6"/>
        <v>273434</v>
      </c>
      <c r="I72" s="12">
        <f>[1]공종별내역서!J1499</f>
        <v>0</v>
      </c>
      <c r="J72" s="12">
        <f t="shared" si="7"/>
        <v>0</v>
      </c>
      <c r="K72" s="12">
        <f t="shared" si="8"/>
        <v>529044</v>
      </c>
      <c r="L72" s="12">
        <f t="shared" si="8"/>
        <v>529044</v>
      </c>
      <c r="M72" s="10" t="s">
        <v>21</v>
      </c>
      <c r="N72" s="13" t="s">
        <v>162</v>
      </c>
      <c r="O72" s="13" t="s">
        <v>21</v>
      </c>
      <c r="P72" s="13" t="s">
        <v>160</v>
      </c>
      <c r="Q72" s="13" t="s">
        <v>21</v>
      </c>
      <c r="R72" s="14">
        <v>4</v>
      </c>
      <c r="S72" s="13" t="s">
        <v>21</v>
      </c>
      <c r="T72" s="15"/>
    </row>
    <row r="73" spans="1:20" ht="30" customHeight="1" x14ac:dyDescent="0.3">
      <c r="A73" s="10" t="s">
        <v>163</v>
      </c>
      <c r="B73" s="10" t="s">
        <v>21</v>
      </c>
      <c r="C73" s="10" t="s">
        <v>21</v>
      </c>
      <c r="D73" s="11">
        <v>1</v>
      </c>
      <c r="E73" s="12">
        <f>[1]공종별내역서!F1545</f>
        <v>42440376</v>
      </c>
      <c r="F73" s="12">
        <f t="shared" si="5"/>
        <v>42440376</v>
      </c>
      <c r="G73" s="12">
        <f>[1]공종별내역서!H1545</f>
        <v>0</v>
      </c>
      <c r="H73" s="12">
        <f t="shared" si="6"/>
        <v>0</v>
      </c>
      <c r="I73" s="12">
        <f>[1]공종별내역서!J1545</f>
        <v>0</v>
      </c>
      <c r="J73" s="12">
        <f t="shared" si="7"/>
        <v>0</v>
      </c>
      <c r="K73" s="12">
        <f t="shared" si="8"/>
        <v>42440376</v>
      </c>
      <c r="L73" s="12">
        <f t="shared" si="8"/>
        <v>42440376</v>
      </c>
      <c r="M73" s="10" t="s">
        <v>21</v>
      </c>
      <c r="N73" s="13" t="s">
        <v>164</v>
      </c>
      <c r="O73" s="13" t="s">
        <v>21</v>
      </c>
      <c r="P73" s="13" t="s">
        <v>100</v>
      </c>
      <c r="Q73" s="13" t="s">
        <v>21</v>
      </c>
      <c r="R73" s="14">
        <v>3</v>
      </c>
      <c r="S73" s="13" t="s">
        <v>21</v>
      </c>
      <c r="T73" s="15"/>
    </row>
    <row r="74" spans="1:20" ht="30" customHeight="1" x14ac:dyDescent="0.3">
      <c r="A74" s="10" t="s">
        <v>165</v>
      </c>
      <c r="B74" s="10" t="s">
        <v>21</v>
      </c>
      <c r="C74" s="10" t="s">
        <v>21</v>
      </c>
      <c r="D74" s="11">
        <v>1</v>
      </c>
      <c r="E74" s="12">
        <f>[1]공종별내역서!F1568</f>
        <v>0</v>
      </c>
      <c r="F74" s="12">
        <f t="shared" si="5"/>
        <v>0</v>
      </c>
      <c r="G74" s="12">
        <f>[1]공종별내역서!H1568</f>
        <v>0</v>
      </c>
      <c r="H74" s="12">
        <f t="shared" si="6"/>
        <v>0</v>
      </c>
      <c r="I74" s="12">
        <f>[1]공종별내역서!J1568</f>
        <v>3274119</v>
      </c>
      <c r="J74" s="12">
        <f t="shared" si="7"/>
        <v>3274119</v>
      </c>
      <c r="K74" s="12">
        <f t="shared" si="8"/>
        <v>3274119</v>
      </c>
      <c r="L74" s="12">
        <f t="shared" si="8"/>
        <v>3274119</v>
      </c>
      <c r="M74" s="10" t="s">
        <v>21</v>
      </c>
      <c r="N74" s="13" t="s">
        <v>166</v>
      </c>
      <c r="O74" s="13" t="s">
        <v>21</v>
      </c>
      <c r="P74" s="13" t="s">
        <v>21</v>
      </c>
      <c r="Q74" s="13" t="s">
        <v>167</v>
      </c>
      <c r="R74" s="14">
        <v>3</v>
      </c>
      <c r="S74" s="13" t="s">
        <v>21</v>
      </c>
      <c r="T74" s="15">
        <f>L74*1</f>
        <v>3274119</v>
      </c>
    </row>
    <row r="75" spans="1:20" ht="30" customHeight="1" x14ac:dyDescent="0.3">
      <c r="A75" s="10" t="s">
        <v>168</v>
      </c>
      <c r="B75" s="11"/>
      <c r="C75" s="11"/>
      <c r="D75" s="11">
        <v>1</v>
      </c>
      <c r="E75" s="18">
        <f>F76+F77+F78</f>
        <v>9650</v>
      </c>
      <c r="F75" s="19">
        <f>E75</f>
        <v>9650</v>
      </c>
      <c r="G75" s="18">
        <f>H76+H77+H78</f>
        <v>7720</v>
      </c>
      <c r="H75" s="19">
        <f>G75</f>
        <v>7720</v>
      </c>
      <c r="I75" s="18">
        <f>J76+J77+J78</f>
        <v>30577835</v>
      </c>
      <c r="J75" s="19">
        <f>I75</f>
        <v>30577835</v>
      </c>
      <c r="K75" s="18">
        <f>E75+G75+I75</f>
        <v>30595205</v>
      </c>
      <c r="L75" s="12">
        <f>F75+H75+J75</f>
        <v>30595205</v>
      </c>
      <c r="M75" s="11"/>
      <c r="T75" s="20"/>
    </row>
    <row r="76" spans="1:20" ht="30" customHeight="1" x14ac:dyDescent="0.3">
      <c r="A76" s="10" t="str">
        <f>[1]공종별내역서!A1569</f>
        <v>0101  ○ 건설폐기물처리비</v>
      </c>
      <c r="B76" s="11"/>
      <c r="C76" s="11"/>
      <c r="D76" s="11">
        <v>1</v>
      </c>
      <c r="E76" s="19">
        <f>[1]공종별내역서!E1591</f>
        <v>0</v>
      </c>
      <c r="F76" s="19">
        <f>[1]공종별내역서!F1591</f>
        <v>0</v>
      </c>
      <c r="G76" s="19">
        <f>[1]공종별내역서!G1591</f>
        <v>0</v>
      </c>
      <c r="H76" s="19">
        <f>[1]공종별내역서!H1591</f>
        <v>0</v>
      </c>
      <c r="I76" s="19">
        <f>[1]공종별내역서!I1591</f>
        <v>0</v>
      </c>
      <c r="J76" s="19">
        <f>[1]공종별내역서!J1591</f>
        <v>4285400</v>
      </c>
      <c r="K76" s="19">
        <f>[1]공종별내역서!K1591</f>
        <v>0</v>
      </c>
      <c r="L76" s="19">
        <f>[1]공종별내역서!L1591</f>
        <v>4285400</v>
      </c>
      <c r="M76" s="11"/>
      <c r="T76" s="20"/>
    </row>
    <row r="77" spans="1:20" ht="30" customHeight="1" x14ac:dyDescent="0.3">
      <c r="A77" s="11" t="str">
        <f>[1]공종별내역서!A1592</f>
        <v>0102  ○ 건설폐기물처리비</v>
      </c>
      <c r="B77" s="11"/>
      <c r="C77" s="11"/>
      <c r="D77" s="11">
        <v>1</v>
      </c>
      <c r="E77" s="19">
        <f>[1]공종별내역서!E1614</f>
        <v>0</v>
      </c>
      <c r="F77" s="19">
        <f>[1]공종별내역서!F1614</f>
        <v>0</v>
      </c>
      <c r="G77" s="19">
        <f>[1]공종별내역서!G1614</f>
        <v>0</v>
      </c>
      <c r="H77" s="19">
        <f>[1]공종별내역서!H1614</f>
        <v>0</v>
      </c>
      <c r="I77" s="19">
        <f>[1]공종별내역서!I1614</f>
        <v>0</v>
      </c>
      <c r="J77" s="19">
        <f>[1]공종별내역서!J1614</f>
        <v>12435000</v>
      </c>
      <c r="K77" s="19">
        <f>[1]공종별내역서!K1614</f>
        <v>0</v>
      </c>
      <c r="L77" s="19">
        <f>[1]공종별내역서!L1614</f>
        <v>12435000</v>
      </c>
      <c r="M77" s="11"/>
      <c r="T77" s="20"/>
    </row>
    <row r="78" spans="1:20" ht="30" customHeight="1" x14ac:dyDescent="0.3">
      <c r="A78" s="11" t="str">
        <f>[1]공종별내역서!A1615</f>
        <v>0103  ○ 건설폐기물처리비</v>
      </c>
      <c r="B78" s="11"/>
      <c r="C78" s="11"/>
      <c r="D78" s="11">
        <v>1</v>
      </c>
      <c r="E78" s="19">
        <f>[1]공종별내역서!E1637</f>
        <v>0</v>
      </c>
      <c r="F78" s="19">
        <f>[1]공종별내역서!F1637</f>
        <v>9650</v>
      </c>
      <c r="G78" s="19">
        <f>[1]공종별내역서!G1637</f>
        <v>0</v>
      </c>
      <c r="H78" s="19">
        <f>[1]공종별내역서!H1637</f>
        <v>7720</v>
      </c>
      <c r="I78" s="19">
        <f>[1]공종별내역서!I1637</f>
        <v>0</v>
      </c>
      <c r="J78" s="19">
        <f>[1]공종별내역서!J1637</f>
        <v>13857435</v>
      </c>
      <c r="K78" s="19">
        <f>[1]공종별내역서!K1637</f>
        <v>0</v>
      </c>
      <c r="L78" s="19">
        <f>[1]공종별내역서!L1637</f>
        <v>13874805</v>
      </c>
      <c r="M78" s="11"/>
      <c r="T78" s="20"/>
    </row>
    <row r="79" spans="1:20" ht="30" customHeight="1" x14ac:dyDescent="0.3">
      <c r="A79" s="11"/>
      <c r="B79" s="11"/>
      <c r="C79" s="11"/>
      <c r="D79" s="11"/>
      <c r="E79" s="19"/>
      <c r="F79" s="19"/>
      <c r="G79" s="19"/>
      <c r="H79" s="19"/>
      <c r="I79" s="19"/>
      <c r="J79" s="19"/>
      <c r="K79" s="19"/>
      <c r="L79" s="19"/>
      <c r="M79" s="11"/>
      <c r="T79" s="20"/>
    </row>
    <row r="80" spans="1:20" ht="30" customHeight="1" x14ac:dyDescent="0.3">
      <c r="A80" s="11"/>
      <c r="B80" s="11"/>
      <c r="C80" s="11"/>
      <c r="D80" s="11"/>
      <c r="E80" s="19"/>
      <c r="F80" s="19"/>
      <c r="G80" s="19"/>
      <c r="H80" s="19"/>
      <c r="I80" s="19"/>
      <c r="J80" s="19"/>
      <c r="K80" s="19"/>
      <c r="L80" s="19"/>
      <c r="M80" s="11"/>
      <c r="T80" s="20"/>
    </row>
    <row r="81" spans="1:20" ht="30" customHeight="1" x14ac:dyDescent="0.3">
      <c r="A81" s="11"/>
      <c r="B81" s="11"/>
      <c r="C81" s="11"/>
      <c r="D81" s="11"/>
      <c r="E81" s="19"/>
      <c r="F81" s="19"/>
      <c r="G81" s="19"/>
      <c r="H81" s="19"/>
      <c r="I81" s="19"/>
      <c r="J81" s="19"/>
      <c r="K81" s="19"/>
      <c r="L81" s="19"/>
      <c r="M81" s="11"/>
      <c r="T81" s="20"/>
    </row>
    <row r="82" spans="1:20" ht="30" customHeight="1" x14ac:dyDescent="0.3">
      <c r="A82" s="11"/>
      <c r="B82" s="11"/>
      <c r="C82" s="11"/>
      <c r="D82" s="11"/>
      <c r="E82" s="19"/>
      <c r="F82" s="19"/>
      <c r="G82" s="19"/>
      <c r="H82" s="19"/>
      <c r="I82" s="19"/>
      <c r="J82" s="19"/>
      <c r="K82" s="19"/>
      <c r="L82" s="19"/>
      <c r="M82" s="11"/>
      <c r="T82" s="20"/>
    </row>
    <row r="83" spans="1:20" ht="30" customHeight="1" x14ac:dyDescent="0.3">
      <c r="A83" s="11"/>
      <c r="B83" s="11"/>
      <c r="C83" s="11"/>
      <c r="D83" s="11"/>
      <c r="E83" s="19"/>
      <c r="F83" s="19"/>
      <c r="G83" s="19"/>
      <c r="H83" s="19"/>
      <c r="I83" s="19"/>
      <c r="J83" s="19"/>
      <c r="K83" s="19"/>
      <c r="L83" s="19"/>
      <c r="M83" s="11"/>
      <c r="T83" s="20"/>
    </row>
    <row r="84" spans="1:20" ht="30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T84" s="20"/>
    </row>
    <row r="85" spans="1:20" ht="30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T85" s="20"/>
    </row>
    <row r="86" spans="1:20" ht="30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T86" s="20"/>
    </row>
    <row r="87" spans="1:20" ht="30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T87" s="20"/>
    </row>
    <row r="88" spans="1:20" ht="30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T88" s="20"/>
    </row>
    <row r="89" spans="1:20" ht="30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T89" s="20"/>
    </row>
    <row r="90" spans="1:20" ht="30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T90" s="20"/>
    </row>
    <row r="91" spans="1:20" ht="30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T91" s="20"/>
    </row>
    <row r="92" spans="1:20" ht="30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T92" s="20"/>
    </row>
    <row r="93" spans="1:20" ht="30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T93" s="20"/>
    </row>
    <row r="94" spans="1:20" ht="30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T94" s="20"/>
    </row>
    <row r="95" spans="1:20" ht="30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T95" s="20"/>
    </row>
    <row r="96" spans="1:20" ht="30" customHeight="1" x14ac:dyDescent="0.3">
      <c r="A96" s="10" t="s">
        <v>169</v>
      </c>
      <c r="B96" s="11"/>
      <c r="C96" s="11"/>
      <c r="D96" s="11"/>
      <c r="E96" s="11"/>
      <c r="F96" s="12">
        <f>F5</f>
        <v>871751659</v>
      </c>
      <c r="G96" s="11"/>
      <c r="H96" s="12">
        <f>H5</f>
        <v>364781324</v>
      </c>
      <c r="I96" s="11"/>
      <c r="J96" s="12">
        <f>J5</f>
        <v>41583379</v>
      </c>
      <c r="K96" s="11"/>
      <c r="L96" s="12">
        <f>L5</f>
        <v>1278116362</v>
      </c>
      <c r="M96" s="11"/>
      <c r="T96" s="20"/>
    </row>
  </sheetData>
  <mergeCells count="17">
    <mergeCell ref="Q3:Q4"/>
    <mergeCell ref="R3:R4"/>
    <mergeCell ref="S3:S4"/>
    <mergeCell ref="T3:T4"/>
    <mergeCell ref="W37:AA38"/>
    <mergeCell ref="I3:J3"/>
    <mergeCell ref="K3:L3"/>
    <mergeCell ref="M3:M4"/>
    <mergeCell ref="N3:N4"/>
    <mergeCell ref="O3:O4"/>
    <mergeCell ref="P3:P4"/>
    <mergeCell ref="A3:A4"/>
    <mergeCell ref="B3:B4"/>
    <mergeCell ref="C3:C4"/>
    <mergeCell ref="D3:D4"/>
    <mergeCell ref="E3:F3"/>
    <mergeCell ref="G3:H3"/>
  </mergeCells>
  <phoneticPr fontId="3" type="noConversion"/>
  <pageMargins left="0.78740157480314954" right="0" top="0.39370078740157477" bottom="0.39370078740157477" header="0" footer="0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공종별집계표</vt:lpstr>
      <vt:lpstr>공종별집계표!Print_Area</vt:lpstr>
      <vt:lpstr>공종별집계표!Print_Titles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2026-07-06T02:08:23Z</dcterms:created>
  <dcterms:modified xsi:type="dcterms:W3CDTF">2026-07-06T02:09:03Z</dcterms:modified>
</cp:coreProperties>
</file>